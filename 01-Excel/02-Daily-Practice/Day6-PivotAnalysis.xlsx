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anjal\OneDrive\Desktop\ExcelPractice\"/>
    </mc:Choice>
  </mc:AlternateContent>
  <xr:revisionPtr revIDLastSave="0" documentId="13_ncr:1_{EBC174D0-D277-450E-A766-1C502A9FB616}" xr6:coauthVersionLast="47" xr6:coauthVersionMax="47" xr10:uidLastSave="{00000000-0000-0000-0000-000000000000}"/>
  <bookViews>
    <workbookView xWindow="-108" yWindow="-108" windowWidth="23256" windowHeight="12456" xr2:uid="{7B79B5C1-F6B1-4931-BA62-51C804BC7068}"/>
  </bookViews>
  <sheets>
    <sheet name="Pivot_Analysis" sheetId="2" r:id="rId1"/>
    <sheet name="Sheet1" sheetId="1" r:id="rId2"/>
  </sheets>
  <definedNames>
    <definedName name="Slicer_Category">#N/A</definedName>
    <definedName name="Slicer_Region">#N/A</definedName>
  </definedNames>
  <calcPr calcId="191029"/>
  <pivotCaches>
    <pivotCache cacheId="5"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<sst xmlns="http://schemas.openxmlformats.org/spreadsheetml/2006/main" count="179" uniqueCount="55">
  <si>
    <t>Order ID</t>
  </si>
  <si>
    <t>Date</t>
  </si>
  <si>
    <t>Employee ID</t>
  </si>
  <si>
    <t>Product</t>
  </si>
  <si>
    <t>Category</t>
  </si>
  <si>
    <t>Region</t>
  </si>
  <si>
    <t>Units</t>
  </si>
  <si>
    <t>Unit Price</t>
  </si>
  <si>
    <t>Sales</t>
  </si>
  <si>
    <t>O001</t>
  </si>
  <si>
    <t>E001</t>
  </si>
  <si>
    <t>Laptop Stand</t>
  </si>
  <si>
    <t>Accessories</t>
  </si>
  <si>
    <t>Kathmandu</t>
  </si>
  <si>
    <t>O002</t>
  </si>
  <si>
    <t>E003</t>
  </si>
  <si>
    <t>Mouse</t>
  </si>
  <si>
    <t>Pokhara</t>
  </si>
  <si>
    <t>O003</t>
  </si>
  <si>
    <t>E002</t>
  </si>
  <si>
    <t>Keyboard</t>
  </si>
  <si>
    <t>O004</t>
  </si>
  <si>
    <t>E005</t>
  </si>
  <si>
    <t>Monitor</t>
  </si>
  <si>
    <t>Electronics</t>
  </si>
  <si>
    <t>Lalitpur</t>
  </si>
  <si>
    <t>O005</t>
  </si>
  <si>
    <t>E004</t>
  </si>
  <si>
    <t>USB Hub</t>
  </si>
  <si>
    <t>Bharatpur</t>
  </si>
  <si>
    <t>O006</t>
  </si>
  <si>
    <t>Headphones</t>
  </si>
  <si>
    <t>O007</t>
  </si>
  <si>
    <t>E006</t>
  </si>
  <si>
    <t>Webcam</t>
  </si>
  <si>
    <t>O008</t>
  </si>
  <si>
    <t>O009</t>
  </si>
  <si>
    <t>O010</t>
  </si>
  <si>
    <t>O011</t>
  </si>
  <si>
    <t>O012</t>
  </si>
  <si>
    <t>O013</t>
  </si>
  <si>
    <t>O014</t>
  </si>
  <si>
    <t>O015</t>
  </si>
  <si>
    <t>O016</t>
  </si>
  <si>
    <t>O017</t>
  </si>
  <si>
    <t>O018</t>
  </si>
  <si>
    <t>O019</t>
  </si>
  <si>
    <t>O020</t>
  </si>
  <si>
    <t>Grand Total</t>
  </si>
  <si>
    <t>Sum of Sales</t>
  </si>
  <si>
    <t>Sum of Units</t>
  </si>
  <si>
    <t>Count of Order ID</t>
  </si>
  <si>
    <t>Average of Sales</t>
  </si>
  <si>
    <t>(Multiple Items)</t>
  </si>
  <si>
    <t>% of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</si>
</sst>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horizontal="center" vertical="center" wrapText="1"/>
    </xf>
    <xf numFmtId="0" fontId="0" fillId="0" borderId="0" xfId="0" applyAlignment="1">
      <alignment horizontal="right" vertical="center" wrapText="1"/>
    </xf>
    <xf numFmtId="0" fontId="1" fillId="0" borderId="0" xfId="0" applyFont="1" applyAlignment="1">
      <alignment horizontal="right" vertical="center" wrapText="1"/>
    </xf>
    <xf numFmtId="0" fontId="0" fillId="0" borderId="0" xfId="0" applyAlignment="1">
      <alignment vertical="center" wrapText="1"/>
    </xf>
    <xf numFmtId="15" fontId="0" fillId="0" borderId="0" xfId="0" applyNumberFormat="1" applyAlignment="1">
      <alignment vertical="center" wrapText="1"/>
    </xf>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10" fontId="0" fillId="0" borderId="0" xfId="0" applyNumberFormat="1"/>
  </cellXfs>
  <cellStyles count="1">
    <cellStyle name="Normal" xfId="0" builtinId="0"/>
  </cellStyles>
  <dxfs count="37">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i val="0"/>
        <strike val="0"/>
        <condense val="0"/>
        <extend val="0"/>
        <outline val="0"/>
        <shadow val="0"/>
        <u val="none"/>
        <vertAlign val="baseline"/>
        <sz val="11"/>
        <color theme="1"/>
        <name val="Calibri"/>
        <family val="2"/>
        <scheme val="minor"/>
      </font>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20" formatCode="dd/mmm/yy"/>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[Day6-PivotAnalysis.xlsx]Pivot_Analysis!PivotTable13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Pivot_Analysis!$B$19</c:f>
              <c:strCache>
                <c:ptCount val="1"/>
                <c:pt idx="0">
                  <c:v>Sum of Sales</c:v>
                </c:pt>
              </c:strCache>
            </c:strRef>
          </c:tx>
          <c:spPr>
            <a:solidFill>
              <a:schemeClr val="accent1"/>
            </a:solidFill>
            <a:ln>
              <a:noFill/>
            </a:ln>
            <a:effectLst/>
          </c:spPr>
          <c:invertIfNegative val="0"/>
          <c:cat>
            <c:strRef>
              <c:f>Pivot_Analysis!$A$20:$A$24</c:f>
              <c:strCache>
                <c:ptCount val="4"/>
                <c:pt idx="0">
                  <c:v>Bharatpur</c:v>
                </c:pt>
                <c:pt idx="1">
                  <c:v>Kathmandu</c:v>
                </c:pt>
                <c:pt idx="2">
                  <c:v>Lalitpur</c:v>
                </c:pt>
                <c:pt idx="3">
                  <c:v>Pokhara</c:v>
                </c:pt>
              </c:strCache>
            </c:strRef>
          </c:cat>
          <c:val>
            <c:numRef>
              <c:f>Pivot_Analysis!$B$20:$B$24</c:f>
              <c:numCache>
                <c:formatCode>General</c:formatCode>
                <c:ptCount val="4"/>
                <c:pt idx="0">
                  <c:v>231900</c:v>
                </c:pt>
                <c:pt idx="1">
                  <c:v>410300</c:v>
                </c:pt>
                <c:pt idx="2">
                  <c:v>320000</c:v>
                </c:pt>
                <c:pt idx="3">
                  <c:v>253300</c:v>
                </c:pt>
              </c:numCache>
            </c:numRef>
          </c:val>
          <c:extLst>
            <c:ext xmlns:c16="http://schemas.microsoft.com/office/drawing/2014/chart" uri="{C3380CC4-5D6E-409C-BE32-E72D297353CC}">
              <c16:uniqueId val="{00000000-8843-467E-B8B2-4C641D0EC398}"/>
            </c:ext>
          </c:extLst>
        </c:ser>
        <c:ser>
          <c:idx val="1"/>
          <c:order val="1"/>
          <c:tx>
            <c:strRef>
              <c:f>Pivot_Analysis!$C$19</c:f>
              <c:strCache>
                <c:ptCount val="1"/>
                <c:pt idx="0">
                  <c:v>% of Total</c:v>
                </c:pt>
              </c:strCache>
            </c:strRef>
          </c:tx>
          <c:spPr>
            <a:solidFill>
              <a:schemeClr val="accent2"/>
            </a:solidFill>
            <a:ln>
              <a:noFill/>
            </a:ln>
            <a:effectLst/>
          </c:spPr>
          <c:invertIfNegative val="0"/>
          <c:cat>
            <c:strRef>
              <c:f>Pivot_Analysis!$A$20:$A$24</c:f>
              <c:strCache>
                <c:ptCount val="4"/>
                <c:pt idx="0">
                  <c:v>Bharatpur</c:v>
                </c:pt>
                <c:pt idx="1">
                  <c:v>Kathmandu</c:v>
                </c:pt>
                <c:pt idx="2">
                  <c:v>Lalitpur</c:v>
                </c:pt>
                <c:pt idx="3">
                  <c:v>Pokhara</c:v>
                </c:pt>
              </c:strCache>
            </c:strRef>
          </c:cat>
          <c:val>
            <c:numRef>
              <c:f>Pivot_Analysis!$C$20:$C$24</c:f>
              <c:numCache>
                <c:formatCode>0.00%</c:formatCode>
                <c:ptCount val="4"/>
                <c:pt idx="0">
                  <c:v>0.19078568490333198</c:v>
                </c:pt>
                <c:pt idx="1">
                  <c:v>0.33755656108597287</c:v>
                </c:pt>
                <c:pt idx="2">
                  <c:v>0.26326614561908679</c:v>
                </c:pt>
                <c:pt idx="3">
                  <c:v>0.20839160839160839</c:v>
                </c:pt>
              </c:numCache>
            </c:numRef>
          </c:val>
          <c:extLst>
            <c:ext xmlns:c16="http://schemas.microsoft.com/office/drawing/2014/chart" uri="{C3380CC4-5D6E-409C-BE32-E72D297353CC}">
              <c16:uniqueId val="{00000001-8843-467E-B8B2-4C641D0EC398}"/>
            </c:ext>
          </c:extLst>
        </c:ser>
        <c:dLbls>
          <c:showLegendKey val="0"/>
          <c:showVal val="0"/>
          <c:showCatName val="0"/>
          <c:showSerName val="0"/>
          <c:showPercent val="0"/>
          <c:showBubbleSize val="0"/>
        </c:dLbls>
        <c:gapWidth val="219"/>
        <c:overlap val="-27"/>
        <c:axId val="2097136880"/>
        <c:axId val="2084064016"/>
      </c:barChart>
      <c:catAx>
        <c:axId val="2097136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4064016"/>
        <c:crosses val="autoZero"/>
        <c:auto val="1"/>
        <c:lblAlgn val="ctr"/>
        <c:lblOffset val="100"/>
        <c:noMultiLvlLbl val="0"/>
      </c:catAx>
      <c:valAx>
        <c:axId val="2084064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7136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6</xdr:col>
      <xdr:colOff>228600</xdr:colOff>
      <xdr:row>1</xdr:row>
      <xdr:rowOff>15240</xdr:rowOff>
    </xdr:from>
    <xdr:to>
      <xdr:col>8</xdr:col>
      <xdr:colOff>777240</xdr:colOff>
      <xdr:row>1</xdr:row>
      <xdr:rowOff>731519</xdr:rowOff>
    </xdr:to>
    <mc:AlternateContent xmlns:mc="http://schemas.openxmlformats.org/markup-compatibility/2006">
      <mc:Choice xmlns:a14="http://schemas.microsoft.com/office/drawing/2010/main" Requires="a14">
        <xdr:graphicFrame macro="">
          <xdr:nvGraphicFramePr>
            <xdr:cNvPr id="2" name="Category">
              <a:extLst>
                <a:ext uri="{FF2B5EF4-FFF2-40B4-BE49-F238E27FC236}">
                  <a16:creationId xmlns:a16="http://schemas.microsoft.com/office/drawing/2014/main" id="{DF254ACE-19B8-6AA9-456F-393A975576D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273040" y="198120"/>
              <a:ext cx="2087880" cy="7162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1</xdr:row>
      <xdr:rowOff>15240</xdr:rowOff>
    </xdr:from>
    <xdr:to>
      <xdr:col>4</xdr:col>
      <xdr:colOff>457200</xdr:colOff>
      <xdr:row>1</xdr:row>
      <xdr:rowOff>716280</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3794E82E-160A-4B4C-2765-D066184DE9C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0480" y="198120"/>
              <a:ext cx="3627120" cy="701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701040</xdr:colOff>
      <xdr:row>20</xdr:row>
      <xdr:rowOff>137160</xdr:rowOff>
    </xdr:from>
    <xdr:to>
      <xdr:col>9</xdr:col>
      <xdr:colOff>419100</xdr:colOff>
      <xdr:row>31</xdr:row>
      <xdr:rowOff>45720</xdr:rowOff>
    </xdr:to>
    <xdr:graphicFrame macro="">
      <xdr:nvGraphicFramePr>
        <xdr:cNvPr id="4" name="Chart 3">
          <a:extLst>
            <a:ext uri="{FF2B5EF4-FFF2-40B4-BE49-F238E27FC236}">
              <a16:creationId xmlns:a16="http://schemas.microsoft.com/office/drawing/2014/main" id="{EDE46AFF-72D8-F66C-8816-F8EB3E3B87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jali Jaiswal" refreshedDate="46259.833335185183" createdVersion="8" refreshedVersion="8" minRefreshableVersion="3" recordCount="20" xr:uid="{97D047C8-D124-4C51-836E-83E8012CDD1E}">
  <cacheSource type="worksheet">
    <worksheetSource name="SalesData"/>
  </cacheSource>
  <cacheFields count="9">
    <cacheField name="Order ID" numFmtId="0">
      <sharedItems/>
    </cacheField>
    <cacheField name="Date" numFmtId="15">
      <sharedItems containsSemiMixedTypes="0" containsNonDate="0" containsDate="1" containsString="0" minDate="2026-01-01T00:00:00" maxDate="2026-01-21T00:00:00"/>
    </cacheField>
    <cacheField name="Employee ID" numFmtId="0">
      <sharedItems/>
    </cacheField>
    <cacheField name="Product" numFmtId="0">
      <sharedItems count="7">
        <s v="Laptop Stand"/>
        <s v="Mouse"/>
        <s v="Keyboard"/>
        <s v="Monitor"/>
        <s v="USB Hub"/>
        <s v="Headphones"/>
        <s v="Webcam"/>
      </sharedItems>
    </cacheField>
    <cacheField name="Category" numFmtId="0">
      <sharedItems count="2">
        <s v="Accessories"/>
        <s v="Electronics"/>
      </sharedItems>
    </cacheField>
    <cacheField name="Region" numFmtId="0">
      <sharedItems count="4">
        <s v="Kathmandu"/>
        <s v="Pokhara"/>
        <s v="Lalitpur"/>
        <s v="Bharatpur"/>
      </sharedItems>
    </cacheField>
    <cacheField name="Units" numFmtId="0">
      <sharedItems containsSemiMixedTypes="0" containsString="0" containsNumber="1" containsInteger="1" minValue="2" maxValue="15"/>
    </cacheField>
    <cacheField name="Unit Price" numFmtId="0">
      <sharedItems containsSemiMixedTypes="0" containsString="0" containsNumber="1" minValue="2500" maxValue="37000"/>
    </cacheField>
    <cacheField name="Sales" numFmtId="0">
      <sharedItems containsSemiMixedTypes="0" containsString="0" containsNumber="1" containsInteger="1" minValue="30000" maxValue="148000"/>
    </cacheField>
  </cacheFields>
  <extLst>
    <ext xmlns:x14="http://schemas.microsoft.com/office/spreadsheetml/2009/9/main" uri="{725AE2AE-9491-48be-B2B4-4EB974FC3084}">
      <x14:pivotCacheDefinition pivotCacheId="7465034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s v="O001"/>
    <d v="2026-01-01T00:00:00"/>
    <s v="E001"/>
    <x v="0"/>
    <x v="0"/>
    <x v="0"/>
    <n v="10"/>
    <n v="3000"/>
    <n v="30000"/>
  </r>
  <r>
    <s v="O002"/>
    <d v="2026-01-02T00:00:00"/>
    <s v="E003"/>
    <x v="1"/>
    <x v="0"/>
    <x v="1"/>
    <n v="15"/>
    <n v="2500"/>
    <n v="37500"/>
  </r>
  <r>
    <s v="O003"/>
    <d v="2026-01-03T00:00:00"/>
    <s v="E002"/>
    <x v="2"/>
    <x v="0"/>
    <x v="0"/>
    <n v="12"/>
    <n v="3300"/>
    <n v="39600"/>
  </r>
  <r>
    <s v="O004"/>
    <d v="2026-01-04T00:00:00"/>
    <s v="E005"/>
    <x v="3"/>
    <x v="1"/>
    <x v="2"/>
    <n v="4"/>
    <n v="37000"/>
    <n v="148000"/>
  </r>
  <r>
    <s v="O005"/>
    <d v="2026-01-05T00:00:00"/>
    <s v="E004"/>
    <x v="4"/>
    <x v="0"/>
    <x v="3"/>
    <n v="9"/>
    <n v="6000"/>
    <n v="54000"/>
  </r>
  <r>
    <s v="O006"/>
    <d v="2026-01-06T00:00:00"/>
    <s v="E001"/>
    <x v="5"/>
    <x v="1"/>
    <x v="0"/>
    <n v="6"/>
    <n v="11250"/>
    <n v="67500"/>
  </r>
  <r>
    <s v="O007"/>
    <d v="2026-01-07T00:00:00"/>
    <s v="E006"/>
    <x v="6"/>
    <x v="1"/>
    <x v="1"/>
    <n v="5"/>
    <n v="11000"/>
    <n v="55000"/>
  </r>
  <r>
    <s v="O008"/>
    <d v="2026-01-08T00:00:00"/>
    <s v="E004"/>
    <x v="2"/>
    <x v="0"/>
    <x v="3"/>
    <n v="8"/>
    <n v="6050"/>
    <n v="48400"/>
  </r>
  <r>
    <s v="O009"/>
    <d v="2026-01-09T00:00:00"/>
    <s v="E002"/>
    <x v="0"/>
    <x v="0"/>
    <x v="2"/>
    <n v="7"/>
    <n v="5714.29"/>
    <n v="40000"/>
  </r>
  <r>
    <s v="O010"/>
    <d v="2026-01-10T00:00:00"/>
    <s v="E005"/>
    <x v="3"/>
    <x v="1"/>
    <x v="0"/>
    <n v="3"/>
    <n v="37000"/>
    <n v="111000"/>
  </r>
  <r>
    <s v="O011"/>
    <d v="2026-01-11T00:00:00"/>
    <s v="E003"/>
    <x v="1"/>
    <x v="0"/>
    <x v="3"/>
    <n v="12"/>
    <n v="4375"/>
    <n v="52500"/>
  </r>
  <r>
    <s v="O012"/>
    <d v="2026-01-12T00:00:00"/>
    <s v="E002"/>
    <x v="5"/>
    <x v="1"/>
    <x v="2"/>
    <n v="8"/>
    <n v="11250"/>
    <n v="90000"/>
  </r>
  <r>
    <s v="O013"/>
    <d v="2026-01-13T00:00:00"/>
    <s v="E001"/>
    <x v="4"/>
    <x v="0"/>
    <x v="0"/>
    <n v="7"/>
    <n v="7200"/>
    <n v="50400"/>
  </r>
  <r>
    <s v="O014"/>
    <d v="2026-01-14T00:00:00"/>
    <s v="E004"/>
    <x v="6"/>
    <x v="1"/>
    <x v="3"/>
    <n v="7"/>
    <n v="11000"/>
    <n v="77000"/>
  </r>
  <r>
    <s v="O015"/>
    <d v="2026-01-15T00:00:00"/>
    <s v="E006"/>
    <x v="2"/>
    <x v="0"/>
    <x v="1"/>
    <n v="11"/>
    <n v="3800"/>
    <n v="41800"/>
  </r>
  <r>
    <s v="O016"/>
    <d v="2026-01-16T00:00:00"/>
    <s v="E005"/>
    <x v="0"/>
    <x v="0"/>
    <x v="0"/>
    <n v="9"/>
    <n v="4200"/>
    <n v="37800"/>
  </r>
  <r>
    <s v="O017"/>
    <d v="2026-01-17T00:00:00"/>
    <s v="E001"/>
    <x v="3"/>
    <x v="1"/>
    <x v="0"/>
    <n v="2"/>
    <n v="37000"/>
    <n v="74000"/>
  </r>
  <r>
    <s v="O018"/>
    <d v="2026-01-18T00:00:00"/>
    <s v="E003"/>
    <x v="5"/>
    <x v="1"/>
    <x v="1"/>
    <n v="5"/>
    <n v="11200"/>
    <n v="56000"/>
  </r>
  <r>
    <s v="O019"/>
    <d v="2026-01-19T00:00:00"/>
    <s v="E002"/>
    <x v="1"/>
    <x v="0"/>
    <x v="2"/>
    <n v="10"/>
    <n v="4200"/>
    <n v="42000"/>
  </r>
  <r>
    <s v="O020"/>
    <d v="2026-01-20T00:00:00"/>
    <s v="E006"/>
    <x v="6"/>
    <x v="1"/>
    <x v="1"/>
    <n v="6"/>
    <n v="10500"/>
    <n v="63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577642-E87C-41E2-A69E-2CAC98D59EFA}" name="PivotTable13" cacheId="5"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chartFormat="2" rowHeaderCaption="Region">
  <location ref="A19:C24" firstHeaderRow="0" firstDataRow="1" firstDataCol="1"/>
  <pivotFields count="9">
    <pivotField showAll="0"/>
    <pivotField numFmtId="15" showAll="0"/>
    <pivotField showAll="0"/>
    <pivotField showAll="0"/>
    <pivotField showAll="0">
      <items count="3">
        <item h="1" x="0"/>
        <item x="1"/>
        <item t="default"/>
      </items>
    </pivotField>
    <pivotField axis="axisRow" showAll="0">
      <items count="5">
        <item x="3"/>
        <item x="0"/>
        <item x="2"/>
        <item x="1"/>
        <item t="default"/>
      </items>
    </pivotField>
    <pivotField showAll="0"/>
    <pivotField showAll="0"/>
    <pivotField dataField="1" showAll="0"/>
  </pivotFields>
  <rowFields count="1">
    <field x="5"/>
  </rowFields>
  <rowItems count="5">
    <i>
      <x/>
    </i>
    <i>
      <x v="1"/>
    </i>
    <i>
      <x v="2"/>
    </i>
    <i>
      <x v="3"/>
    </i>
    <i t="grand">
      <x/>
    </i>
  </rowItems>
  <colFields count="1">
    <field x="-2"/>
  </colFields>
  <colItems count="2">
    <i>
      <x/>
    </i>
    <i i="1">
      <x v="1"/>
    </i>
  </colItems>
  <dataFields count="2">
    <dataField name="Sum of Sales" fld="8" baseField="0" baseItem="0"/>
    <dataField name="% of Total" fld="8" showDataAs="percentOfTotal" baseField="5" baseItem="0" numFmtId="1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867111-BE4E-449A-84DE-BE7BB8520C45}" name="PivotTable12" cacheId="5"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rowHeaderCaption="Product">
  <location ref="I3:J10" firstHeaderRow="1" firstDataRow="1" firstDataCol="1" rowPageCount="1" colPageCount="1"/>
  <pivotFields count="9">
    <pivotField showAll="0"/>
    <pivotField numFmtId="15" showAll="0"/>
    <pivotField showAll="0"/>
    <pivotField axis="axisRow" showAll="0">
      <items count="8">
        <item x="5"/>
        <item x="2"/>
        <item x="0"/>
        <item x="3"/>
        <item x="1"/>
        <item x="4"/>
        <item x="6"/>
        <item t="default"/>
      </items>
    </pivotField>
    <pivotField showAll="0">
      <items count="3">
        <item x="0"/>
        <item x="1"/>
        <item t="default"/>
      </items>
    </pivotField>
    <pivotField axis="axisPage" multipleItemSelectionAllowed="1" showAll="0">
      <items count="5">
        <item h="1" x="3"/>
        <item h="1" x="0"/>
        <item x="2"/>
        <item x="1"/>
        <item t="default"/>
      </items>
    </pivotField>
    <pivotField showAll="0"/>
    <pivotField showAll="0"/>
    <pivotField dataField="1" showAll="0"/>
  </pivotFields>
  <rowFields count="1">
    <field x="3"/>
  </rowFields>
  <rowItems count="7">
    <i>
      <x/>
    </i>
    <i>
      <x v="1"/>
    </i>
    <i>
      <x v="2"/>
    </i>
    <i>
      <x v="3"/>
    </i>
    <i>
      <x v="4"/>
    </i>
    <i>
      <x v="6"/>
    </i>
    <i t="grand">
      <x/>
    </i>
  </rowItems>
  <colItems count="1">
    <i/>
  </colItems>
  <pageFields count="1">
    <pageField fld="5" hier="-1"/>
  </pageField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5F754A-BE88-436B-B200-C7B0DF252289}" name="PivotTable10" cacheId="5"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rowHeaderCaption="Product">
  <location ref="G11:H19" firstHeaderRow="1" firstDataRow="1" firstDataCol="1"/>
  <pivotFields count="9">
    <pivotField showAll="0"/>
    <pivotField numFmtId="15" showAll="0"/>
    <pivotField showAll="0"/>
    <pivotField axis="axisRow" showAll="0">
      <items count="8">
        <item x="5"/>
        <item x="2"/>
        <item x="0"/>
        <item x="3"/>
        <item x="1"/>
        <item x="4"/>
        <item x="6"/>
        <item t="default"/>
      </items>
    </pivotField>
    <pivotField showAll="0">
      <items count="3">
        <item x="0"/>
        <item x="1"/>
        <item t="default"/>
      </items>
    </pivotField>
    <pivotField showAll="0">
      <items count="5">
        <item x="3"/>
        <item x="0"/>
        <item x="2"/>
        <item x="1"/>
        <item t="default"/>
      </items>
    </pivotField>
    <pivotField dataField="1" showAll="0"/>
    <pivotField showAll="0"/>
    <pivotField showAll="0"/>
  </pivotFields>
  <rowFields count="1">
    <field x="3"/>
  </rowFields>
  <rowItems count="8">
    <i>
      <x/>
    </i>
    <i>
      <x v="1"/>
    </i>
    <i>
      <x v="2"/>
    </i>
    <i>
      <x v="3"/>
    </i>
    <i>
      <x v="4"/>
    </i>
    <i>
      <x v="5"/>
    </i>
    <i>
      <x v="6"/>
    </i>
    <i t="grand">
      <x/>
    </i>
  </rowItems>
  <colItems count="1">
    <i/>
  </colItems>
  <dataFields count="1">
    <dataField name="Sum of Unit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B7A0C5-67EC-4C49-B334-0AA2D77AA730}" name="PivotTable9" cacheId="5"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rowHeaderCaption="Product">
  <location ref="J11:K19" firstHeaderRow="1" firstDataRow="1" firstDataCol="1"/>
  <pivotFields count="9">
    <pivotField showAll="0"/>
    <pivotField numFmtId="15" showAll="0"/>
    <pivotField showAll="0"/>
    <pivotField axis="axisRow" showAll="0">
      <items count="8">
        <item x="5"/>
        <item x="2"/>
        <item x="0"/>
        <item x="3"/>
        <item x="1"/>
        <item x="4"/>
        <item x="6"/>
        <item t="default"/>
      </items>
    </pivotField>
    <pivotField showAll="0">
      <items count="3">
        <item x="0"/>
        <item x="1"/>
        <item t="default"/>
      </items>
    </pivotField>
    <pivotField showAll="0">
      <items count="5">
        <item x="3"/>
        <item x="0"/>
        <item x="2"/>
        <item x="1"/>
        <item t="default"/>
      </items>
    </pivotField>
    <pivotField showAll="0"/>
    <pivotField showAll="0"/>
    <pivotField dataField="1" showAll="0"/>
  </pivotFields>
  <rowFields count="1">
    <field x="3"/>
  </rowFields>
  <rowItems count="8">
    <i>
      <x/>
    </i>
    <i>
      <x v="1"/>
    </i>
    <i>
      <x v="2"/>
    </i>
    <i>
      <x v="3"/>
    </i>
    <i>
      <x v="4"/>
    </i>
    <i>
      <x v="5"/>
    </i>
    <i>
      <x v="6"/>
    </i>
    <i t="grand">
      <x/>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0FBD4C-E1B3-449F-935A-10BDB12A2C5E}" name="RegionXCategory" cacheId="5"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rowHeaderCaption="Region" colHeaderCaption="Category">
  <location ref="E3:G9" firstHeaderRow="1" firstDataRow="2" firstDataCol="1"/>
  <pivotFields count="9">
    <pivotField showAll="0"/>
    <pivotField numFmtId="15" showAll="0"/>
    <pivotField showAll="0"/>
    <pivotField showAll="0"/>
    <pivotField axis="axisCol" showAll="0">
      <items count="3">
        <item x="0"/>
        <item x="1"/>
        <item t="default"/>
      </items>
    </pivotField>
    <pivotField axis="axisRow" showAll="0">
      <items count="5">
        <item x="3"/>
        <item x="0"/>
        <item x="2"/>
        <item x="1"/>
        <item t="default"/>
      </items>
    </pivotField>
    <pivotField showAll="0"/>
    <pivotField showAll="0"/>
    <pivotField dataField="1" showAll="0"/>
  </pivotFields>
  <rowFields count="1">
    <field x="5"/>
  </rowFields>
  <rowItems count="5">
    <i>
      <x/>
    </i>
    <i>
      <x v="1"/>
    </i>
    <i>
      <x v="2"/>
    </i>
    <i>
      <x v="3"/>
    </i>
    <i t="grand">
      <x/>
    </i>
  </rowItems>
  <colFields count="1">
    <field x="4"/>
  </colFields>
  <colItems count="2">
    <i>
      <x/>
    </i>
    <i>
      <x v="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1B73F84-444A-4C11-B1DA-52433F2E5BBD}" name="AverageOrderValue" cacheId="5"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rowHeaderCaption="Region">
  <location ref="D11:E16" firstHeaderRow="1" firstDataRow="1" firstDataCol="1"/>
  <pivotFields count="9">
    <pivotField showAll="0"/>
    <pivotField numFmtId="15" showAll="0"/>
    <pivotField showAll="0"/>
    <pivotField showAll="0"/>
    <pivotField showAll="0">
      <items count="3">
        <item h="1" x="0"/>
        <item x="1"/>
        <item t="default"/>
      </items>
    </pivotField>
    <pivotField axis="axisRow" showAll="0">
      <items count="5">
        <item x="3"/>
        <item x="0"/>
        <item x="2"/>
        <item x="1"/>
        <item t="default"/>
      </items>
    </pivotField>
    <pivotField showAll="0"/>
    <pivotField showAll="0"/>
    <pivotField dataField="1" showAll="0"/>
  </pivotFields>
  <rowFields count="1">
    <field x="5"/>
  </rowFields>
  <rowItems count="5">
    <i>
      <x/>
    </i>
    <i>
      <x v="1"/>
    </i>
    <i>
      <x v="2"/>
    </i>
    <i>
      <x v="3"/>
    </i>
    <i t="grand">
      <x/>
    </i>
  </rowItems>
  <colItems count="1">
    <i/>
  </colItems>
  <dataFields count="1">
    <dataField name="Average of Sales" fld="8" subtotal="average" baseField="5" baseItem="2"/>
  </dataFields>
  <formats count="1">
    <format dxfId="25">
      <pivotArea collapsedLevelsAreSubtotals="1" fieldPosition="0">
        <references count="1">
          <reference field="5"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E8008EC-F74F-4F5A-8C9C-D56C03A01AE0}" name="OrdersByRegion" cacheId="5"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rowHeaderCaption="Region">
  <location ref="A11:B16" firstHeaderRow="1" firstDataRow="1" firstDataCol="1"/>
  <pivotFields count="9">
    <pivotField dataField="1" showAll="0"/>
    <pivotField numFmtId="15" showAll="0"/>
    <pivotField showAll="0"/>
    <pivotField showAll="0"/>
    <pivotField showAll="0">
      <items count="3">
        <item h="1" x="0"/>
        <item x="1"/>
        <item t="default"/>
      </items>
    </pivotField>
    <pivotField axis="axisRow" showAll="0">
      <items count="5">
        <item x="3"/>
        <item x="0"/>
        <item x="2"/>
        <item x="1"/>
        <item t="default"/>
      </items>
    </pivotField>
    <pivotField showAll="0"/>
    <pivotField showAll="0"/>
    <pivotField showAll="0"/>
  </pivotFields>
  <rowFields count="1">
    <field x="5"/>
  </rowFields>
  <rowItems count="5">
    <i>
      <x/>
    </i>
    <i>
      <x v="1"/>
    </i>
    <i>
      <x v="2"/>
    </i>
    <i>
      <x v="3"/>
    </i>
    <i t="grand">
      <x/>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BD2A644-85C2-4EB2-AA07-BC07E07F293E}" name="SalesByRegion" cacheId="5"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rowHeaderCaption="Region">
  <location ref="A3:B8" firstHeaderRow="1" firstDataRow="1" firstDataCol="1"/>
  <pivotFields count="9">
    <pivotField showAll="0"/>
    <pivotField numFmtId="15" showAll="0"/>
    <pivotField showAll="0"/>
    <pivotField showAll="0"/>
    <pivotField showAll="0">
      <items count="3">
        <item h="1" x="0"/>
        <item x="1"/>
        <item t="default"/>
      </items>
    </pivotField>
    <pivotField axis="axisRow" showAll="0">
      <items count="5">
        <item x="3"/>
        <item x="0"/>
        <item x="2"/>
        <item x="1"/>
        <item t="default"/>
      </items>
    </pivotField>
    <pivotField showAll="0"/>
    <pivotField showAll="0"/>
    <pivotField dataField="1" showAll="0"/>
  </pivotFields>
  <rowFields count="1">
    <field x="5"/>
  </rowFields>
  <rowItems count="5">
    <i>
      <x/>
    </i>
    <i>
      <x v="1"/>
    </i>
    <i>
      <x v="2"/>
    </i>
    <i>
      <x v="3"/>
    </i>
    <i t="grand">
      <x/>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BF01B62-E5C7-4142-B4C7-E14BD42B0C33}" sourceName="Category">
  <pivotTables>
    <pivotTable tabId="2" name="PivotTable10"/>
    <pivotTable tabId="2" name="PivotTable12"/>
    <pivotTable tabId="2" name="RegionXCategory"/>
    <pivotTable tabId="2" name="PivotTable9"/>
  </pivotTables>
  <data>
    <tabular pivotCacheId="74650341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3396780-A2F1-44FA-BE16-96722A94C4B6}" sourceName="Region">
  <pivotTables>
    <pivotTable tabId="2" name="SalesByRegion"/>
    <pivotTable tabId="2" name="OrdersByRegion"/>
    <pivotTable tabId="2" name="AverageOrderValue"/>
    <pivotTable tabId="2" name="RegionXCategory"/>
    <pivotTable tabId="2" name="PivotTable13"/>
  </pivotTables>
  <data>
    <tabular pivotCacheId="746503419">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78D3AB2-A568-496F-8467-1225E6758DBD}" cache="Slicer_Category" caption="Category" columnCount="2" rowHeight="234950"/>
  <slicer name="Region" xr10:uid="{8A7A520D-E6D2-4E10-83F1-9067CADB3D78}" cache="Slicer_Region" caption="Region" columnCoun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2F8BDB-9A11-47A9-9DE5-733B05E78442}" name="SalesData" displayName="SalesData" ref="A1:I21" totalsRowShown="0" headerRowDxfId="26" dataDxfId="27">
  <autoFilter ref="A1:I21" xr:uid="{D72F8BDB-9A11-47A9-9DE5-733B05E78442}"/>
  <tableColumns count="9">
    <tableColumn id="1" xr3:uid="{B025FB52-990C-4A2A-A5AA-10D9E85A02AD}" name="Order ID" dataDxfId="36"/>
    <tableColumn id="2" xr3:uid="{AC053D49-EE2A-47DD-B9C4-6CF316A1CA4B}" name="Date" dataDxfId="35"/>
    <tableColumn id="3" xr3:uid="{AE116010-3CD8-45A9-9B62-B377BAE00CC7}" name="Employee ID" dataDxfId="34"/>
    <tableColumn id="4" xr3:uid="{218EC9EF-C3CB-46CA-B472-D7FA761DB3E0}" name="Product" dataDxfId="33"/>
    <tableColumn id="5" xr3:uid="{8B5CBECC-CA4C-4552-9A0F-0FA377503E76}" name="Category" dataDxfId="32"/>
    <tableColumn id="6" xr3:uid="{65949A49-B416-466E-A616-1832895FE701}" name="Region" dataDxfId="31"/>
    <tableColumn id="7" xr3:uid="{6A9551AF-CC3C-4277-8301-630D68E7D9A1}" name="Units" dataDxfId="30"/>
    <tableColumn id="8" xr3:uid="{54B3D348-251E-4666-9687-AF9D677A6146}" name="Unit Price" dataDxfId="29"/>
    <tableColumn id="9" xr3:uid="{DFCD28FB-5EF8-4C75-8A7F-23C40F7D289D}" name="Sales" dataDxfId="2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2B084-76A4-4B68-9C14-C2A26B3C8258}">
  <dimension ref="A1:K24"/>
  <sheetViews>
    <sheetView tabSelected="1" workbookViewId="0">
      <selection activeCell="M5" sqref="M5"/>
    </sheetView>
  </sheetViews>
  <sheetFormatPr defaultRowHeight="14.4" x14ac:dyDescent="0.3"/>
  <cols>
    <col min="1" max="1" width="11.109375" bestFit="1" customWidth="1"/>
    <col min="2" max="2" width="15.88671875" customWidth="1"/>
    <col min="4" max="4" width="10.77734375" bestFit="1" customWidth="1"/>
    <col min="5" max="5" width="15" customWidth="1"/>
    <col min="6" max="6" width="11.88671875" customWidth="1"/>
    <col min="7" max="7" width="10.77734375" bestFit="1" customWidth="1"/>
    <col min="8" max="8" width="11.6640625" customWidth="1"/>
    <col min="9" max="9" width="11.6640625" bestFit="1" customWidth="1"/>
    <col min="10" max="10" width="12.5546875" bestFit="1" customWidth="1"/>
    <col min="11" max="11" width="15.5546875" bestFit="1" customWidth="1"/>
    <col min="12" max="12" width="10.77734375" bestFit="1" customWidth="1"/>
    <col min="13" max="13" width="12.5546875" bestFit="1" customWidth="1"/>
    <col min="14" max="14" width="11.6640625" bestFit="1" customWidth="1"/>
  </cols>
  <sheetData>
    <row r="1" spans="1:11" x14ac:dyDescent="0.3">
      <c r="I1" s="6" t="s">
        <v>5</v>
      </c>
      <c r="J1" t="s">
        <v>53</v>
      </c>
    </row>
    <row r="2" spans="1:11" ht="58.2" customHeight="1" x14ac:dyDescent="0.3"/>
    <row r="3" spans="1:11" x14ac:dyDescent="0.3">
      <c r="A3" s="6" t="s">
        <v>5</v>
      </c>
      <c r="B3" t="s">
        <v>49</v>
      </c>
      <c r="E3" s="6" t="s">
        <v>49</v>
      </c>
      <c r="F3" s="6" t="s">
        <v>4</v>
      </c>
      <c r="I3" s="6" t="s">
        <v>3</v>
      </c>
      <c r="J3" t="s">
        <v>49</v>
      </c>
    </row>
    <row r="4" spans="1:11" x14ac:dyDescent="0.3">
      <c r="A4" s="7" t="s">
        <v>29</v>
      </c>
      <c r="B4" s="8">
        <v>231900</v>
      </c>
      <c r="E4" s="6" t="s">
        <v>5</v>
      </c>
      <c r="F4" t="s">
        <v>12</v>
      </c>
      <c r="G4" t="s">
        <v>24</v>
      </c>
      <c r="I4" s="7" t="s">
        <v>31</v>
      </c>
      <c r="J4" s="8">
        <v>146000</v>
      </c>
    </row>
    <row r="5" spans="1:11" x14ac:dyDescent="0.3">
      <c r="A5" s="7" t="s">
        <v>13</v>
      </c>
      <c r="B5" s="8">
        <v>410300</v>
      </c>
      <c r="E5" s="7" t="s">
        <v>29</v>
      </c>
      <c r="F5" s="8">
        <v>154900</v>
      </c>
      <c r="G5" s="8">
        <v>77000</v>
      </c>
      <c r="I5" s="7" t="s">
        <v>20</v>
      </c>
      <c r="J5" s="8">
        <v>41800</v>
      </c>
    </row>
    <row r="6" spans="1:11" x14ac:dyDescent="0.3">
      <c r="A6" s="7" t="s">
        <v>25</v>
      </c>
      <c r="B6" s="8">
        <v>320000</v>
      </c>
      <c r="E6" s="7" t="s">
        <v>13</v>
      </c>
      <c r="F6" s="8">
        <v>157800</v>
      </c>
      <c r="G6" s="8">
        <v>252500</v>
      </c>
      <c r="I6" s="7" t="s">
        <v>11</v>
      </c>
      <c r="J6" s="8">
        <v>40000</v>
      </c>
    </row>
    <row r="7" spans="1:11" x14ac:dyDescent="0.3">
      <c r="A7" s="7" t="s">
        <v>17</v>
      </c>
      <c r="B7" s="8">
        <v>253300</v>
      </c>
      <c r="E7" s="7" t="s">
        <v>25</v>
      </c>
      <c r="F7" s="8">
        <v>82000</v>
      </c>
      <c r="G7" s="8">
        <v>238000</v>
      </c>
      <c r="I7" s="7" t="s">
        <v>23</v>
      </c>
      <c r="J7" s="8">
        <v>148000</v>
      </c>
    </row>
    <row r="8" spans="1:11" x14ac:dyDescent="0.3">
      <c r="A8" s="7" t="s">
        <v>48</v>
      </c>
      <c r="B8" s="8">
        <v>1215500</v>
      </c>
      <c r="E8" s="7" t="s">
        <v>17</v>
      </c>
      <c r="F8" s="8">
        <v>79300</v>
      </c>
      <c r="G8" s="8">
        <v>174000</v>
      </c>
      <c r="I8" s="7" t="s">
        <v>16</v>
      </c>
      <c r="J8" s="8">
        <v>79500</v>
      </c>
    </row>
    <row r="9" spans="1:11" x14ac:dyDescent="0.3">
      <c r="E9" s="7" t="s">
        <v>48</v>
      </c>
      <c r="F9" s="8">
        <v>474000</v>
      </c>
      <c r="G9" s="8">
        <v>741500</v>
      </c>
      <c r="I9" s="7" t="s">
        <v>34</v>
      </c>
      <c r="J9" s="8">
        <v>118000</v>
      </c>
    </row>
    <row r="10" spans="1:11" x14ac:dyDescent="0.3">
      <c r="I10" s="7" t="s">
        <v>48</v>
      </c>
      <c r="J10" s="8">
        <v>573300</v>
      </c>
    </row>
    <row r="11" spans="1:11" x14ac:dyDescent="0.3">
      <c r="A11" s="6" t="s">
        <v>5</v>
      </c>
      <c r="B11" t="s">
        <v>51</v>
      </c>
      <c r="D11" s="6" t="s">
        <v>5</v>
      </c>
      <c r="E11" t="s">
        <v>52</v>
      </c>
      <c r="G11" s="6" t="s">
        <v>3</v>
      </c>
      <c r="H11" t="s">
        <v>50</v>
      </c>
      <c r="J11" s="6" t="s">
        <v>3</v>
      </c>
      <c r="K11" t="s">
        <v>49</v>
      </c>
    </row>
    <row r="12" spans="1:11" x14ac:dyDescent="0.3">
      <c r="A12" s="7" t="s">
        <v>29</v>
      </c>
      <c r="B12" s="8">
        <v>4</v>
      </c>
      <c r="D12" s="7" t="s">
        <v>29</v>
      </c>
      <c r="E12" s="8">
        <v>57975</v>
      </c>
      <c r="G12" s="7" t="s">
        <v>31</v>
      </c>
      <c r="H12" s="8">
        <v>19</v>
      </c>
      <c r="J12" s="7" t="s">
        <v>31</v>
      </c>
      <c r="K12" s="8">
        <v>213500</v>
      </c>
    </row>
    <row r="13" spans="1:11" x14ac:dyDescent="0.3">
      <c r="A13" s="7" t="s">
        <v>13</v>
      </c>
      <c r="B13" s="8">
        <v>7</v>
      </c>
      <c r="D13" s="7" t="s">
        <v>13</v>
      </c>
      <c r="E13" s="9">
        <v>58614.285714285717</v>
      </c>
      <c r="G13" s="7" t="s">
        <v>20</v>
      </c>
      <c r="H13" s="8">
        <v>31</v>
      </c>
      <c r="J13" s="7" t="s">
        <v>20</v>
      </c>
      <c r="K13" s="8">
        <v>129800</v>
      </c>
    </row>
    <row r="14" spans="1:11" x14ac:dyDescent="0.3">
      <c r="A14" s="7" t="s">
        <v>25</v>
      </c>
      <c r="B14" s="8">
        <v>4</v>
      </c>
      <c r="D14" s="7" t="s">
        <v>25</v>
      </c>
      <c r="E14" s="8">
        <v>80000</v>
      </c>
      <c r="G14" s="7" t="s">
        <v>11</v>
      </c>
      <c r="H14" s="8">
        <v>26</v>
      </c>
      <c r="J14" s="7" t="s">
        <v>11</v>
      </c>
      <c r="K14" s="8">
        <v>107800</v>
      </c>
    </row>
    <row r="15" spans="1:11" x14ac:dyDescent="0.3">
      <c r="A15" s="7" t="s">
        <v>17</v>
      </c>
      <c r="B15" s="8">
        <v>5</v>
      </c>
      <c r="D15" s="7" t="s">
        <v>17</v>
      </c>
      <c r="E15" s="8">
        <v>50660</v>
      </c>
      <c r="G15" s="7" t="s">
        <v>23</v>
      </c>
      <c r="H15" s="8">
        <v>9</v>
      </c>
      <c r="J15" s="7" t="s">
        <v>23</v>
      </c>
      <c r="K15" s="8">
        <v>333000</v>
      </c>
    </row>
    <row r="16" spans="1:11" x14ac:dyDescent="0.3">
      <c r="A16" s="7" t="s">
        <v>48</v>
      </c>
      <c r="B16" s="8">
        <v>20</v>
      </c>
      <c r="D16" s="7" t="s">
        <v>48</v>
      </c>
      <c r="E16" s="8">
        <v>60775</v>
      </c>
      <c r="G16" s="7" t="s">
        <v>16</v>
      </c>
      <c r="H16" s="8">
        <v>37</v>
      </c>
      <c r="J16" s="7" t="s">
        <v>16</v>
      </c>
      <c r="K16" s="8">
        <v>132000</v>
      </c>
    </row>
    <row r="17" spans="1:11" x14ac:dyDescent="0.3">
      <c r="G17" s="7" t="s">
        <v>28</v>
      </c>
      <c r="H17" s="8">
        <v>16</v>
      </c>
      <c r="J17" s="7" t="s">
        <v>28</v>
      </c>
      <c r="K17" s="8">
        <v>104400</v>
      </c>
    </row>
    <row r="18" spans="1:11" x14ac:dyDescent="0.3">
      <c r="G18" s="7" t="s">
        <v>34</v>
      </c>
      <c r="H18" s="8">
        <v>18</v>
      </c>
      <c r="J18" s="7" t="s">
        <v>34</v>
      </c>
      <c r="K18" s="8">
        <v>195000</v>
      </c>
    </row>
    <row r="19" spans="1:11" x14ac:dyDescent="0.3">
      <c r="A19" s="6" t="s">
        <v>5</v>
      </c>
      <c r="B19" t="s">
        <v>49</v>
      </c>
      <c r="C19" t="s">
        <v>54</v>
      </c>
      <c r="G19" s="7" t="s">
        <v>48</v>
      </c>
      <c r="H19" s="8">
        <v>156</v>
      </c>
      <c r="J19" s="7" t="s">
        <v>48</v>
      </c>
      <c r="K19" s="8">
        <v>1215500</v>
      </c>
    </row>
    <row r="20" spans="1:11" x14ac:dyDescent="0.3">
      <c r="A20" s="7" t="s">
        <v>29</v>
      </c>
      <c r="B20" s="8">
        <v>231900</v>
      </c>
      <c r="C20" s="10">
        <v>0.19078568490333198</v>
      </c>
    </row>
    <row r="21" spans="1:11" x14ac:dyDescent="0.3">
      <c r="A21" s="7" t="s">
        <v>13</v>
      </c>
      <c r="B21" s="8">
        <v>410300</v>
      </c>
      <c r="C21" s="10">
        <v>0.33755656108597287</v>
      </c>
    </row>
    <row r="22" spans="1:11" x14ac:dyDescent="0.3">
      <c r="A22" s="7" t="s">
        <v>25</v>
      </c>
      <c r="B22" s="8">
        <v>320000</v>
      </c>
      <c r="C22" s="10">
        <v>0.26326614561908679</v>
      </c>
    </row>
    <row r="23" spans="1:11" x14ac:dyDescent="0.3">
      <c r="A23" s="7" t="s">
        <v>17</v>
      </c>
      <c r="B23" s="8">
        <v>253300</v>
      </c>
      <c r="C23" s="10">
        <v>0.20839160839160839</v>
      </c>
    </row>
    <row r="24" spans="1:11" x14ac:dyDescent="0.3">
      <c r="A24" s="7" t="s">
        <v>48</v>
      </c>
      <c r="B24" s="8">
        <v>1215500</v>
      </c>
      <c r="C24" s="10">
        <v>1</v>
      </c>
    </row>
  </sheetData>
  <pageMargins left="0.7" right="0.7" top="0.75" bottom="0.75" header="0.3" footer="0.3"/>
  <pageSetup orientation="portrait" r:id="rId9"/>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5EAE3-0848-45CA-870E-8D7CDF9D64F5}">
  <dimension ref="A1:I21"/>
  <sheetViews>
    <sheetView workbookViewId="0">
      <selection activeCell="F8" sqref="F8"/>
    </sheetView>
  </sheetViews>
  <sheetFormatPr defaultRowHeight="14.4" x14ac:dyDescent="0.3"/>
  <cols>
    <col min="1" max="1" width="9.88671875" customWidth="1"/>
    <col min="3" max="3" width="13.44140625" customWidth="1"/>
    <col min="4" max="4" width="14.77734375" customWidth="1"/>
    <col min="5" max="5" width="11.44140625" customWidth="1"/>
    <col min="6" max="6" width="12.33203125" customWidth="1"/>
    <col min="8" max="8" width="11" customWidth="1"/>
  </cols>
  <sheetData>
    <row r="1" spans="1:9" ht="28.8" x14ac:dyDescent="0.3">
      <c r="A1" s="1" t="s">
        <v>0</v>
      </c>
      <c r="B1" s="1" t="s">
        <v>1</v>
      </c>
      <c r="C1" s="1" t="s">
        <v>2</v>
      </c>
      <c r="D1" s="1" t="s">
        <v>3</v>
      </c>
      <c r="E1" s="1" t="s">
        <v>4</v>
      </c>
      <c r="F1" s="1" t="s">
        <v>5</v>
      </c>
      <c r="G1" s="3" t="s">
        <v>6</v>
      </c>
      <c r="H1" s="3" t="s">
        <v>7</v>
      </c>
      <c r="I1" s="3" t="s">
        <v>8</v>
      </c>
    </row>
    <row r="2" spans="1:9" ht="28.8" x14ac:dyDescent="0.3">
      <c r="A2" s="4" t="s">
        <v>9</v>
      </c>
      <c r="B2" s="5">
        <v>46023</v>
      </c>
      <c r="C2" s="4" t="s">
        <v>10</v>
      </c>
      <c r="D2" s="4" t="s">
        <v>11</v>
      </c>
      <c r="E2" s="4" t="s">
        <v>12</v>
      </c>
      <c r="F2" s="4" t="s">
        <v>13</v>
      </c>
      <c r="G2" s="2">
        <v>10</v>
      </c>
      <c r="H2" s="2">
        <v>3000</v>
      </c>
      <c r="I2" s="2">
        <v>30000</v>
      </c>
    </row>
    <row r="3" spans="1:9" ht="28.8" x14ac:dyDescent="0.3">
      <c r="A3" s="4" t="s">
        <v>14</v>
      </c>
      <c r="B3" s="5">
        <v>46024</v>
      </c>
      <c r="C3" s="4" t="s">
        <v>15</v>
      </c>
      <c r="D3" s="4" t="s">
        <v>16</v>
      </c>
      <c r="E3" s="4" t="s">
        <v>12</v>
      </c>
      <c r="F3" s="4" t="s">
        <v>17</v>
      </c>
      <c r="G3" s="2">
        <v>15</v>
      </c>
      <c r="H3" s="2">
        <v>2500</v>
      </c>
      <c r="I3" s="2">
        <v>37500</v>
      </c>
    </row>
    <row r="4" spans="1:9" ht="28.8" x14ac:dyDescent="0.3">
      <c r="A4" s="4" t="s">
        <v>18</v>
      </c>
      <c r="B4" s="5">
        <v>46025</v>
      </c>
      <c r="C4" s="4" t="s">
        <v>19</v>
      </c>
      <c r="D4" s="4" t="s">
        <v>20</v>
      </c>
      <c r="E4" s="4" t="s">
        <v>12</v>
      </c>
      <c r="F4" s="4" t="s">
        <v>13</v>
      </c>
      <c r="G4" s="2">
        <v>12</v>
      </c>
      <c r="H4" s="2">
        <v>3300</v>
      </c>
      <c r="I4" s="2">
        <v>39600</v>
      </c>
    </row>
    <row r="5" spans="1:9" ht="28.8" x14ac:dyDescent="0.3">
      <c r="A5" s="4" t="s">
        <v>21</v>
      </c>
      <c r="B5" s="5">
        <v>46026</v>
      </c>
      <c r="C5" s="4" t="s">
        <v>22</v>
      </c>
      <c r="D5" s="4" t="s">
        <v>23</v>
      </c>
      <c r="E5" s="4" t="s">
        <v>24</v>
      </c>
      <c r="F5" s="4" t="s">
        <v>25</v>
      </c>
      <c r="G5" s="2">
        <v>4</v>
      </c>
      <c r="H5" s="2">
        <v>37000</v>
      </c>
      <c r="I5" s="2">
        <v>148000</v>
      </c>
    </row>
    <row r="6" spans="1:9" ht="28.8" x14ac:dyDescent="0.3">
      <c r="A6" s="4" t="s">
        <v>26</v>
      </c>
      <c r="B6" s="5">
        <v>46027</v>
      </c>
      <c r="C6" s="4" t="s">
        <v>27</v>
      </c>
      <c r="D6" s="4" t="s">
        <v>28</v>
      </c>
      <c r="E6" s="4" t="s">
        <v>12</v>
      </c>
      <c r="F6" s="4" t="s">
        <v>29</v>
      </c>
      <c r="G6" s="2">
        <v>9</v>
      </c>
      <c r="H6" s="2">
        <v>6000</v>
      </c>
      <c r="I6" s="2">
        <v>54000</v>
      </c>
    </row>
    <row r="7" spans="1:9" ht="28.8" x14ac:dyDescent="0.3">
      <c r="A7" s="4" t="s">
        <v>30</v>
      </c>
      <c r="B7" s="5">
        <v>46028</v>
      </c>
      <c r="C7" s="4" t="s">
        <v>10</v>
      </c>
      <c r="D7" s="4" t="s">
        <v>31</v>
      </c>
      <c r="E7" s="4" t="s">
        <v>24</v>
      </c>
      <c r="F7" s="4" t="s">
        <v>13</v>
      </c>
      <c r="G7" s="2">
        <v>6</v>
      </c>
      <c r="H7" s="2">
        <v>11250</v>
      </c>
      <c r="I7" s="2">
        <v>67500</v>
      </c>
    </row>
    <row r="8" spans="1:9" ht="28.8" x14ac:dyDescent="0.3">
      <c r="A8" s="4" t="s">
        <v>32</v>
      </c>
      <c r="B8" s="5">
        <v>46029</v>
      </c>
      <c r="C8" s="4" t="s">
        <v>33</v>
      </c>
      <c r="D8" s="4" t="s">
        <v>34</v>
      </c>
      <c r="E8" s="4" t="s">
        <v>24</v>
      </c>
      <c r="F8" s="4" t="s">
        <v>17</v>
      </c>
      <c r="G8" s="2">
        <v>5</v>
      </c>
      <c r="H8" s="2">
        <v>11000</v>
      </c>
      <c r="I8" s="2">
        <v>55000</v>
      </c>
    </row>
    <row r="9" spans="1:9" ht="28.8" x14ac:dyDescent="0.3">
      <c r="A9" s="4" t="s">
        <v>35</v>
      </c>
      <c r="B9" s="5">
        <v>46030</v>
      </c>
      <c r="C9" s="4" t="s">
        <v>27</v>
      </c>
      <c r="D9" s="4" t="s">
        <v>20</v>
      </c>
      <c r="E9" s="4" t="s">
        <v>12</v>
      </c>
      <c r="F9" s="4" t="s">
        <v>29</v>
      </c>
      <c r="G9" s="2">
        <v>8</v>
      </c>
      <c r="H9" s="2">
        <v>6050</v>
      </c>
      <c r="I9" s="2">
        <v>48400</v>
      </c>
    </row>
    <row r="10" spans="1:9" ht="28.8" x14ac:dyDescent="0.3">
      <c r="A10" s="4" t="s">
        <v>36</v>
      </c>
      <c r="B10" s="5">
        <v>46031</v>
      </c>
      <c r="C10" s="4" t="s">
        <v>19</v>
      </c>
      <c r="D10" s="4" t="s">
        <v>11</v>
      </c>
      <c r="E10" s="4" t="s">
        <v>12</v>
      </c>
      <c r="F10" s="4" t="s">
        <v>25</v>
      </c>
      <c r="G10" s="2">
        <v>7</v>
      </c>
      <c r="H10" s="2">
        <v>5714.29</v>
      </c>
      <c r="I10" s="2">
        <v>40000</v>
      </c>
    </row>
    <row r="11" spans="1:9" ht="28.8" x14ac:dyDescent="0.3">
      <c r="A11" s="4" t="s">
        <v>37</v>
      </c>
      <c r="B11" s="5">
        <v>46032</v>
      </c>
      <c r="C11" s="4" t="s">
        <v>22</v>
      </c>
      <c r="D11" s="4" t="s">
        <v>23</v>
      </c>
      <c r="E11" s="4" t="s">
        <v>24</v>
      </c>
      <c r="F11" s="4" t="s">
        <v>13</v>
      </c>
      <c r="G11" s="2">
        <v>3</v>
      </c>
      <c r="H11" s="2">
        <v>37000</v>
      </c>
      <c r="I11" s="2">
        <v>111000</v>
      </c>
    </row>
    <row r="12" spans="1:9" ht="28.8" x14ac:dyDescent="0.3">
      <c r="A12" s="4" t="s">
        <v>38</v>
      </c>
      <c r="B12" s="5">
        <v>46033</v>
      </c>
      <c r="C12" s="4" t="s">
        <v>15</v>
      </c>
      <c r="D12" s="4" t="s">
        <v>16</v>
      </c>
      <c r="E12" s="4" t="s">
        <v>12</v>
      </c>
      <c r="F12" s="4" t="s">
        <v>29</v>
      </c>
      <c r="G12" s="2">
        <v>12</v>
      </c>
      <c r="H12" s="2">
        <v>4375</v>
      </c>
      <c r="I12" s="2">
        <v>52500</v>
      </c>
    </row>
    <row r="13" spans="1:9" ht="28.8" x14ac:dyDescent="0.3">
      <c r="A13" s="4" t="s">
        <v>39</v>
      </c>
      <c r="B13" s="5">
        <v>46034</v>
      </c>
      <c r="C13" s="4" t="s">
        <v>19</v>
      </c>
      <c r="D13" s="4" t="s">
        <v>31</v>
      </c>
      <c r="E13" s="4" t="s">
        <v>24</v>
      </c>
      <c r="F13" s="4" t="s">
        <v>25</v>
      </c>
      <c r="G13" s="2">
        <v>8</v>
      </c>
      <c r="H13" s="2">
        <v>11250</v>
      </c>
      <c r="I13" s="2">
        <v>90000</v>
      </c>
    </row>
    <row r="14" spans="1:9" ht="28.8" x14ac:dyDescent="0.3">
      <c r="A14" s="4" t="s">
        <v>40</v>
      </c>
      <c r="B14" s="5">
        <v>46035</v>
      </c>
      <c r="C14" s="4" t="s">
        <v>10</v>
      </c>
      <c r="D14" s="4" t="s">
        <v>28</v>
      </c>
      <c r="E14" s="4" t="s">
        <v>12</v>
      </c>
      <c r="F14" s="4" t="s">
        <v>13</v>
      </c>
      <c r="G14" s="2">
        <v>7</v>
      </c>
      <c r="H14" s="2">
        <v>7200</v>
      </c>
      <c r="I14" s="2">
        <v>50400</v>
      </c>
    </row>
    <row r="15" spans="1:9" ht="28.8" x14ac:dyDescent="0.3">
      <c r="A15" s="4" t="s">
        <v>41</v>
      </c>
      <c r="B15" s="5">
        <v>46036</v>
      </c>
      <c r="C15" s="4" t="s">
        <v>27</v>
      </c>
      <c r="D15" s="4" t="s">
        <v>34</v>
      </c>
      <c r="E15" s="4" t="s">
        <v>24</v>
      </c>
      <c r="F15" s="4" t="s">
        <v>29</v>
      </c>
      <c r="G15" s="2">
        <v>7</v>
      </c>
      <c r="H15" s="2">
        <v>11000</v>
      </c>
      <c r="I15" s="2">
        <v>77000</v>
      </c>
    </row>
    <row r="16" spans="1:9" ht="28.8" x14ac:dyDescent="0.3">
      <c r="A16" s="4" t="s">
        <v>42</v>
      </c>
      <c r="B16" s="5">
        <v>46037</v>
      </c>
      <c r="C16" s="4" t="s">
        <v>33</v>
      </c>
      <c r="D16" s="4" t="s">
        <v>20</v>
      </c>
      <c r="E16" s="4" t="s">
        <v>12</v>
      </c>
      <c r="F16" s="4" t="s">
        <v>17</v>
      </c>
      <c r="G16" s="2">
        <v>11</v>
      </c>
      <c r="H16" s="2">
        <v>3800</v>
      </c>
      <c r="I16" s="2">
        <v>41800</v>
      </c>
    </row>
    <row r="17" spans="1:9" ht="28.8" x14ac:dyDescent="0.3">
      <c r="A17" s="4" t="s">
        <v>43</v>
      </c>
      <c r="B17" s="5">
        <v>46038</v>
      </c>
      <c r="C17" s="4" t="s">
        <v>22</v>
      </c>
      <c r="D17" s="4" t="s">
        <v>11</v>
      </c>
      <c r="E17" s="4" t="s">
        <v>12</v>
      </c>
      <c r="F17" s="4" t="s">
        <v>13</v>
      </c>
      <c r="G17" s="2">
        <v>9</v>
      </c>
      <c r="H17" s="2">
        <v>4200</v>
      </c>
      <c r="I17" s="2">
        <v>37800</v>
      </c>
    </row>
    <row r="18" spans="1:9" ht="28.8" x14ac:dyDescent="0.3">
      <c r="A18" s="4" t="s">
        <v>44</v>
      </c>
      <c r="B18" s="5">
        <v>46039</v>
      </c>
      <c r="C18" s="4" t="s">
        <v>10</v>
      </c>
      <c r="D18" s="4" t="s">
        <v>23</v>
      </c>
      <c r="E18" s="4" t="s">
        <v>24</v>
      </c>
      <c r="F18" s="4" t="s">
        <v>13</v>
      </c>
      <c r="G18" s="2">
        <v>2</v>
      </c>
      <c r="H18" s="2">
        <v>37000</v>
      </c>
      <c r="I18" s="2">
        <v>74000</v>
      </c>
    </row>
    <row r="19" spans="1:9" ht="28.8" x14ac:dyDescent="0.3">
      <c r="A19" s="4" t="s">
        <v>45</v>
      </c>
      <c r="B19" s="5">
        <v>46040</v>
      </c>
      <c r="C19" s="4" t="s">
        <v>15</v>
      </c>
      <c r="D19" s="4" t="s">
        <v>31</v>
      </c>
      <c r="E19" s="4" t="s">
        <v>24</v>
      </c>
      <c r="F19" s="4" t="s">
        <v>17</v>
      </c>
      <c r="G19" s="2">
        <v>5</v>
      </c>
      <c r="H19" s="2">
        <v>11200</v>
      </c>
      <c r="I19" s="2">
        <v>56000</v>
      </c>
    </row>
    <row r="20" spans="1:9" ht="28.8" x14ac:dyDescent="0.3">
      <c r="A20" s="4" t="s">
        <v>46</v>
      </c>
      <c r="B20" s="5">
        <v>46041</v>
      </c>
      <c r="C20" s="4" t="s">
        <v>19</v>
      </c>
      <c r="D20" s="4" t="s">
        <v>16</v>
      </c>
      <c r="E20" s="4" t="s">
        <v>12</v>
      </c>
      <c r="F20" s="4" t="s">
        <v>25</v>
      </c>
      <c r="G20" s="2">
        <v>10</v>
      </c>
      <c r="H20" s="2">
        <v>4200</v>
      </c>
      <c r="I20" s="2">
        <v>42000</v>
      </c>
    </row>
    <row r="21" spans="1:9" ht="28.8" x14ac:dyDescent="0.3">
      <c r="A21" s="4" t="s">
        <v>47</v>
      </c>
      <c r="B21" s="5">
        <v>46042</v>
      </c>
      <c r="C21" s="4" t="s">
        <v>33</v>
      </c>
      <c r="D21" s="4" t="s">
        <v>34</v>
      </c>
      <c r="E21" s="4" t="s">
        <v>24</v>
      </c>
      <c r="F21" s="4" t="s">
        <v>17</v>
      </c>
      <c r="G21" s="2">
        <v>6</v>
      </c>
      <c r="H21" s="2">
        <v>10500</v>
      </c>
      <c r="I21" s="2">
        <v>63000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Pivot_Analysis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Anjali Jaiswal</dc:creator>
  <cp:lastModifiedBy>Anjali Jaiswal</cp:lastModifiedBy>
  <dcterms:created xsi:type="dcterms:W3CDTF">2026-08-25T14:27:14Z</dcterms:created>
  <dcterms:modified xsi:type="dcterms:W3CDTF">2026-08-25T15:20:47Z</dcterms:modified>
</cp:coreProperties>
</file>