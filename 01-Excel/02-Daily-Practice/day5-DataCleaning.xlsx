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ExcelPractice\"/>
    </mc:Choice>
  </mc:AlternateContent>
  <xr:revisionPtr revIDLastSave="0" documentId="13_ncr:1_{EEA2572C-5FAF-46C4-857B-2D29C9A623A3}" xr6:coauthVersionLast="47" xr6:coauthVersionMax="47" xr10:uidLastSave="{00000000-0000-0000-0000-000000000000}"/>
  <bookViews>
    <workbookView xWindow="-108" yWindow="-108" windowWidth="23256" windowHeight="12456" activeTab="1" xr2:uid="{98076A92-AF63-45AE-A9E2-1C4825AA8B1B}"/>
  </bookViews>
  <sheets>
    <sheet name="Raw_Data" sheetId="1" r:id="rId1"/>
    <sheet name="Clean_Data" sheetId="2" r:id="rId2"/>
    <sheet name="Data_Qua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N2" i="2" s="1"/>
  <c r="N3" i="2"/>
  <c r="N4" i="2"/>
  <c r="N5" i="2"/>
  <c r="N6" i="2"/>
  <c r="N7" i="2"/>
  <c r="N8" i="2"/>
  <c r="N9" i="2"/>
  <c r="N10" i="2"/>
  <c r="N11" i="2"/>
  <c r="N12" i="2"/>
  <c r="N13" i="2"/>
  <c r="M3" i="2"/>
  <c r="M4" i="2"/>
  <c r="M5" i="2"/>
  <c r="M6" i="2"/>
  <c r="M7" i="2"/>
  <c r="M8" i="2"/>
  <c r="M9" i="2"/>
  <c r="M10" i="2"/>
  <c r="M11" i="2"/>
  <c r="M12" i="2"/>
  <c r="M13" i="2"/>
  <c r="L3" i="2"/>
  <c r="L4" i="2"/>
  <c r="L5" i="2"/>
  <c r="L6" i="2"/>
  <c r="L7" i="2"/>
  <c r="L8" i="2"/>
  <c r="L9" i="2"/>
  <c r="L10" i="2"/>
  <c r="L11" i="2"/>
  <c r="L12" i="2"/>
  <c r="L13" i="2"/>
  <c r="L2" i="2"/>
  <c r="K3" i="2"/>
  <c r="K4" i="2"/>
  <c r="K5" i="2"/>
  <c r="K6" i="2"/>
  <c r="K7" i="2"/>
  <c r="K8" i="2"/>
  <c r="K9" i="2"/>
  <c r="K10" i="2"/>
  <c r="K11" i="2"/>
  <c r="K12" i="2"/>
  <c r="K13" i="2"/>
  <c r="K2" i="2"/>
  <c r="B8" i="3" a="1"/>
  <c r="B8" i="3" s="1"/>
  <c r="B7" i="3"/>
  <c r="B5" i="3"/>
  <c r="B4" i="3"/>
  <c r="B3" i="3"/>
  <c r="B2" i="3"/>
  <c r="B1" i="3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2" i="2"/>
  <c r="H3" i="2"/>
  <c r="H4" i="2"/>
  <c r="H5" i="2"/>
  <c r="H6" i="2"/>
  <c r="H7" i="2"/>
  <c r="H8" i="2"/>
  <c r="H9" i="2"/>
  <c r="H10" i="2"/>
  <c r="H11" i="2"/>
  <c r="H12" i="2"/>
  <c r="H13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E3" i="2"/>
  <c r="E4" i="2"/>
  <c r="E5" i="2"/>
  <c r="E6" i="2"/>
  <c r="E7" i="2"/>
  <c r="E8" i="2"/>
  <c r="E9" i="2"/>
  <c r="E10" i="2"/>
  <c r="E11" i="2"/>
  <c r="E12" i="2"/>
  <c r="E13" i="2"/>
  <c r="E2" i="2"/>
  <c r="F3" i="2"/>
  <c r="F4" i="2"/>
  <c r="F5" i="2"/>
  <c r="F6" i="2"/>
  <c r="F7" i="2"/>
  <c r="F8" i="2"/>
  <c r="F9" i="2"/>
  <c r="F10" i="2"/>
  <c r="F11" i="2"/>
  <c r="F12" i="2"/>
  <c r="F13" i="2"/>
  <c r="F2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  <c r="B3" i="2"/>
  <c r="B4" i="2"/>
  <c r="B5" i="2"/>
  <c r="B6" i="2"/>
  <c r="B7" i="2"/>
  <c r="B8" i="2"/>
  <c r="B9" i="2"/>
  <c r="B10" i="2"/>
  <c r="B11" i="2"/>
  <c r="B12" i="2"/>
  <c r="B1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<sst xmlns="http://schemas.openxmlformats.org/spreadsheetml/2006/main" count="99" uniqueCount="78">
  <si>
    <t>Customer ID</t>
  </si>
  <si>
    <t>Customer Name</t>
  </si>
  <si>
    <t>Email</t>
  </si>
  <si>
    <t>City</t>
  </si>
  <si>
    <t>Phone</t>
  </si>
  <si>
    <t>Product Code</t>
  </si>
  <si>
    <t>C001</t>
  </si>
  <si>
    <t>Asha Sharma</t>
  </si>
  <si>
    <t>ASHA@GMAIL.COM</t>
  </si>
  <si>
    <t>kathmandu</t>
  </si>
  <si>
    <t>LAP-001</t>
  </si>
  <si>
    <t>C002</t>
  </si>
  <si>
    <t>RAVI KUMAR</t>
  </si>
  <si>
    <t>ravi@gmail.com</t>
  </si>
  <si>
    <t>Kathmandu</t>
  </si>
  <si>
    <t>MOU-002</t>
  </si>
  <si>
    <t>C003</t>
  </si>
  <si>
    <t>Sita Thapa</t>
  </si>
  <si>
    <t>SITA@YAHOO.COM</t>
  </si>
  <si>
    <t>POKHARA</t>
  </si>
  <si>
    <t>KEY-003</t>
  </si>
  <si>
    <t>C004</t>
  </si>
  <si>
    <t>pooja shrestha</t>
  </si>
  <si>
    <t>pooja@gmail.com</t>
  </si>
  <si>
    <t>Pokhara</t>
  </si>
  <si>
    <t>LAP-004</t>
  </si>
  <si>
    <t>C005</t>
  </si>
  <si>
    <t>Kiran Gurung</t>
  </si>
  <si>
    <t>KIRAN@GMAIL.COM</t>
  </si>
  <si>
    <t>lalitpur</t>
  </si>
  <si>
    <t>MON-005</t>
  </si>
  <si>
    <t>C006</t>
  </si>
  <si>
    <t>AMIT SHAH</t>
  </si>
  <si>
    <t>amit@gmail.com</t>
  </si>
  <si>
    <t>LALITPUR</t>
  </si>
  <si>
    <t>MOU-006</t>
  </si>
  <si>
    <t>C007</t>
  </si>
  <si>
    <t>Neha Rai</t>
  </si>
  <si>
    <t>NEHA@GMAIL.COM</t>
  </si>
  <si>
    <t>bharatpur</t>
  </si>
  <si>
    <t>KEY-007</t>
  </si>
  <si>
    <t>C008</t>
  </si>
  <si>
    <t>Bikash Tamang</t>
  </si>
  <si>
    <t>bikash@yahoo.com</t>
  </si>
  <si>
    <t>BHARATPUR</t>
  </si>
  <si>
    <t>LAP-008</t>
  </si>
  <si>
    <t>C009</t>
  </si>
  <si>
    <t>SARITA KC</t>
  </si>
  <si>
    <t>sarita@gmail.com</t>
  </si>
  <si>
    <t>MON-009</t>
  </si>
  <si>
    <t>C010</t>
  </si>
  <si>
    <t>ram shrestha</t>
  </si>
  <si>
    <t>RAM@YAHOO.COM</t>
  </si>
  <si>
    <t>pokhara</t>
  </si>
  <si>
    <t>KEY-010</t>
  </si>
  <si>
    <t>C011</t>
  </si>
  <si>
    <t>ANU GUPTA</t>
  </si>
  <si>
    <t>anu@gmail.com</t>
  </si>
  <si>
    <t>MOU-011</t>
  </si>
  <si>
    <t>C012</t>
  </si>
  <si>
    <t>MAYA ADHIKARI</t>
  </si>
  <si>
    <t>MAYA@GMAIL.COM</t>
  </si>
  <si>
    <t>LAP-012</t>
  </si>
  <si>
    <t>First Name</t>
  </si>
  <si>
    <t>Email Username</t>
  </si>
  <si>
    <t>Product Category</t>
  </si>
  <si>
    <t>Product Number</t>
  </si>
  <si>
    <t>Missing Customer Name</t>
  </si>
  <si>
    <t>Missing Email</t>
  </si>
  <si>
    <t>Missing City</t>
  </si>
  <si>
    <t>Missing Phone</t>
  </si>
  <si>
    <t xml:space="preserve"> Missing Product Code</t>
  </si>
  <si>
    <t>Total Customer IDs</t>
  </si>
  <si>
    <t>Total Unique IDs</t>
  </si>
  <si>
    <t>Email Check</t>
  </si>
  <si>
    <t>Phone Check</t>
  </si>
  <si>
    <t>Producct Code Check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</si>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</sst>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32A7-DB41-4975-85BB-92A132052216}">
  <dimension ref="A1:F13"/>
  <sheetViews>
    <sheetView workbookViewId="0">
      <selection activeCell="E2" sqref="E2"/>
    </sheetView>
  </sheetViews>
  <sheetFormatPr defaultRowHeight="14.4"/>
  <cols>
    <col min="1" max="1" width="15" customWidth="1"/>
    <col min="2" max="2" width="15.21875" customWidth="1"/>
    <col min="3" max="3" width="19.33203125" customWidth="1"/>
    <col min="4" max="4" width="12.44140625" customWidth="1"/>
    <col min="5" max="5" width="16.6640625" customWidth="1"/>
    <col min="6" max="6" width="15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5" t="s">
        <v>8</v>
      </c>
      <c r="D2" s="3" t="s">
        <v>9</v>
      </c>
      <c r="E2" s="3">
        <v>9841234567</v>
      </c>
      <c r="F2" s="3" t="s">
        <v>10</v>
      </c>
    </row>
    <row r="3" spans="1:6">
      <c r="A3" s="2" t="s">
        <v>11</v>
      </c>
      <c r="B3" s="3" t="s">
        <v>12</v>
      </c>
      <c r="C3" s="3" t="s">
        <v>13</v>
      </c>
      <c r="D3" s="3" t="s">
        <v>14</v>
      </c>
      <c r="E3" s="3">
        <v>9812345678</v>
      </c>
      <c r="F3" s="3" t="s">
        <v>15</v>
      </c>
    </row>
    <row r="4" spans="1:6">
      <c r="A4" s="2" t="s">
        <v>16</v>
      </c>
      <c r="B4" s="3" t="s">
        <v>17</v>
      </c>
      <c r="C4" s="3" t="s">
        <v>18</v>
      </c>
      <c r="D4" s="3" t="s">
        <v>19</v>
      </c>
      <c r="E4" s="3">
        <v>9860123456</v>
      </c>
      <c r="F4" s="3" t="s">
        <v>20</v>
      </c>
    </row>
    <row r="5" spans="1:6">
      <c r="A5" s="2" t="s">
        <v>21</v>
      </c>
      <c r="B5" s="3" t="s">
        <v>22</v>
      </c>
      <c r="C5" s="3" t="s">
        <v>23</v>
      </c>
      <c r="D5" s="3" t="s">
        <v>24</v>
      </c>
      <c r="E5" s="3">
        <v>9801234567</v>
      </c>
      <c r="F5" s="3" t="s">
        <v>25</v>
      </c>
    </row>
    <row r="6" spans="1:6">
      <c r="A6" s="2" t="s">
        <v>26</v>
      </c>
      <c r="B6" s="3" t="s">
        <v>27</v>
      </c>
      <c r="C6" s="3" t="s">
        <v>28</v>
      </c>
      <c r="D6" s="3" t="s">
        <v>29</v>
      </c>
      <c r="E6" s="3">
        <v>9845671234</v>
      </c>
      <c r="F6" s="3" t="s">
        <v>30</v>
      </c>
    </row>
    <row r="7" spans="1:6">
      <c r="A7" s="2" t="s">
        <v>31</v>
      </c>
      <c r="B7" s="3" t="s">
        <v>32</v>
      </c>
      <c r="C7" s="3" t="s">
        <v>33</v>
      </c>
      <c r="D7" s="3" t="s">
        <v>34</v>
      </c>
      <c r="E7" s="3">
        <v>9815678901</v>
      </c>
      <c r="F7" s="3" t="s">
        <v>35</v>
      </c>
    </row>
    <row r="8" spans="1:6">
      <c r="A8" s="2" t="s">
        <v>36</v>
      </c>
      <c r="B8" s="3" t="s">
        <v>37</v>
      </c>
      <c r="C8" s="3" t="s">
        <v>38</v>
      </c>
      <c r="D8" s="3" t="s">
        <v>39</v>
      </c>
      <c r="E8" s="3">
        <v>9865678901</v>
      </c>
      <c r="F8" s="3" t="s">
        <v>40</v>
      </c>
    </row>
    <row r="9" spans="1:6">
      <c r="A9" s="2" t="s">
        <v>41</v>
      </c>
      <c r="B9" s="3" t="s">
        <v>42</v>
      </c>
      <c r="C9" s="3" t="s">
        <v>43</v>
      </c>
      <c r="D9" s="3" t="s">
        <v>44</v>
      </c>
      <c r="E9" s="3">
        <v>9809876543</v>
      </c>
      <c r="F9" s="3" t="s">
        <v>45</v>
      </c>
    </row>
    <row r="10" spans="1:6">
      <c r="A10" s="2" t="s">
        <v>46</v>
      </c>
      <c r="B10" s="3" t="s">
        <v>47</v>
      </c>
      <c r="C10" s="3" t="s">
        <v>48</v>
      </c>
      <c r="D10" s="3" t="s">
        <v>14</v>
      </c>
      <c r="E10" s="3">
        <v>9845678901</v>
      </c>
      <c r="F10" s="3" t="s">
        <v>49</v>
      </c>
    </row>
    <row r="11" spans="1:6">
      <c r="A11" s="2" t="s">
        <v>50</v>
      </c>
      <c r="B11" s="3" t="s">
        <v>51</v>
      </c>
      <c r="C11" s="3" t="s">
        <v>52</v>
      </c>
      <c r="D11" s="3" t="s">
        <v>53</v>
      </c>
      <c r="E11" s="3">
        <v>9812345670</v>
      </c>
      <c r="F11" s="3" t="s">
        <v>54</v>
      </c>
    </row>
    <row r="12" spans="1:6">
      <c r="A12" s="2" t="s">
        <v>55</v>
      </c>
      <c r="B12" s="3" t="s">
        <v>56</v>
      </c>
      <c r="C12" s="3" t="s">
        <v>57</v>
      </c>
      <c r="D12" s="3" t="s">
        <v>34</v>
      </c>
      <c r="E12" s="3">
        <v>9861234567</v>
      </c>
      <c r="F12" s="3" t="s">
        <v>58</v>
      </c>
    </row>
    <row r="13" spans="1:6" ht="26.4">
      <c r="A13" s="2" t="s">
        <v>59</v>
      </c>
      <c r="B13" s="3" t="s">
        <v>60</v>
      </c>
      <c r="C13" s="3" t="s">
        <v>61</v>
      </c>
      <c r="D13" s="3" t="s">
        <v>39</v>
      </c>
      <c r="E13" s="3">
        <v>9801234560</v>
      </c>
      <c r="F13" s="3" t="s">
        <v>62</v>
      </c>
    </row>
  </sheetData>
  <hyperlinks>
    <hyperlink ref="C2" r:id="rId1" xr:uid="{41EB260B-D07C-4176-AEBA-0F7CEC6F44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82BD-C18C-42DD-AF64-1BA4C900E744}">
  <dimension ref="A1:N14"/>
  <sheetViews>
    <sheetView tabSelected="1" workbookViewId="0">
      <selection activeCell="G2" sqref="G2"/>
    </sheetView>
  </sheetViews>
  <sheetFormatPr defaultRowHeight="14.4"/>
  <cols>
    <col min="1" max="1" width="11.21875" customWidth="1"/>
    <col min="2" max="2" width="15.33203125" customWidth="1"/>
    <col min="3" max="3" width="17.109375" customWidth="1"/>
    <col min="4" max="4" width="10.44140625" customWidth="1"/>
    <col min="5" max="5" width="11" bestFit="1" customWidth="1"/>
    <col min="6" max="6" width="15.109375" customWidth="1"/>
    <col min="7" max="7" width="8.44140625" customWidth="1"/>
    <col min="8" max="8" width="14.33203125" customWidth="1"/>
    <col min="9" max="9" width="15.88671875" customWidth="1"/>
    <col min="10" max="10" width="15.109375" bestFit="1" customWidth="1"/>
    <col min="11" max="11" width="11.109375" bestFit="1" customWidth="1"/>
    <col min="12" max="12" width="12" bestFit="1" customWidth="1"/>
    <col min="13" max="13" width="19.109375" bestFit="1" customWidth="1"/>
    <col min="14" max="14" width="12.5546875" bestFit="1" customWidth="1"/>
  </cols>
  <sheetData>
    <row r="1" spans="1:14" ht="20.3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74</v>
      </c>
      <c r="L1" s="4" t="s">
        <v>75</v>
      </c>
      <c r="M1" s="4" t="s">
        <v>76</v>
      </c>
      <c r="N1" s="4" t="s">
        <v>77</v>
      </c>
    </row>
    <row r="2" spans="1:14">
      <c r="A2" s="2" t="s">
        <v>6</v>
      </c>
      <c r="B2" t="str">
        <f>PROPER(TRIM(Raw_Data!B2))</f>
        <v>Asha Sharma</v>
      </c>
      <c r="C2" t="str">
        <f>LOWER(TRIM(Raw_Data!C2))</f>
        <v>asha@gmail.com</v>
      </c>
      <c r="D2" t="str">
        <f>PROPER(TRIM(Raw_Data!D2))</f>
        <v>Kathmandu</v>
      </c>
      <c r="E2" t="str">
        <f>TRIM(Raw_Data!E2)</f>
        <v>9841234567</v>
      </c>
      <c r="F2" t="str">
        <f>UPPER(TRIM(Raw_Data!F2))</f>
        <v>LAP-001</v>
      </c>
      <c r="G2" t="str">
        <f>LEFT(B2,FIND(" ",B2) - 1)</f>
        <v>Asha</v>
      </c>
      <c r="H2" t="str">
        <f>LEFT(C2,FIND("@",C2) - 1)</f>
        <v>asha</v>
      </c>
      <c r="I2" t="str">
        <f>LEFT(F2,FIND("-",F2) - 1)</f>
        <v>LAP</v>
      </c>
      <c r="J2" t="str">
        <f>RIGHT(F2,LEN(F2)-FIND("-",F2))</f>
        <v>001</v>
      </c>
      <c r="K2" t="str">
        <f>IF(AND(ISNUMBER(SEARCH("@",C2)),ISNUMBER(SEARCH(".",C2))),"Valid","Check")</f>
        <v>Valid</v>
      </c>
      <c r="L2" t="str">
        <f>IF(AND(LEN(E2)=10,ISNUMBER(E2*1)),"Valid","Check")</f>
        <v>Valid</v>
      </c>
      <c r="M2" t="str">
        <f>IF(AND(LEN(F2)=7,MID(F2,4,1)="-"),"Valid","Check")</f>
        <v>Valid</v>
      </c>
      <c r="N2" t="str">
        <f>IF(AND(K2="Valid",L2="Valid",M2="Valid"),"OK","CHECK")</f>
        <v>OK</v>
      </c>
    </row>
    <row r="3" spans="1:14">
      <c r="A3" s="2" t="s">
        <v>11</v>
      </c>
      <c r="B3" t="str">
        <f>PROPER(TRIM(Raw_Data!B3))</f>
        <v>Ravi Kumar</v>
      </c>
      <c r="C3" t="str">
        <f>LOWER(TRIM(Raw_Data!C3))</f>
        <v>ravi@gmail.com</v>
      </c>
      <c r="D3" t="str">
        <f>PROPER(TRIM(Raw_Data!D3))</f>
        <v>Kathmandu</v>
      </c>
      <c r="E3" t="str">
        <f>TRIM(Raw_Data!E3)</f>
        <v>9812345678</v>
      </c>
      <c r="F3" t="str">
        <f>UPPER(TRIM(Raw_Data!F3))</f>
        <v>MOU-002</v>
      </c>
      <c r="G3" t="str">
        <f t="shared" ref="G3:G13" si="0">LEFT(B3,FIND(" ",B3) - 1)</f>
        <v>Ravi</v>
      </c>
      <c r="H3" t="str">
        <f t="shared" ref="H3:H13" si="1">LEFT(C3,FIND("@",C3) - 1)</f>
        <v>ravi</v>
      </c>
      <c r="I3" t="str">
        <f t="shared" ref="I3:I13" si="2">LEFT(F3,FIND("-",F3) - 1)</f>
        <v>MOU</v>
      </c>
      <c r="J3" t="str">
        <f t="shared" ref="J3:J13" si="3">RIGHT(F3,LEN(F3)-FIND("-",F3))</f>
        <v>002</v>
      </c>
      <c r="K3" t="str">
        <f t="shared" ref="K3:K13" si="4">IF(AND(ISNUMBER(SEARCH("@",C3)),ISNUMBER(SEARCH(".",C3))),"Valid","Check")</f>
        <v>Valid</v>
      </c>
      <c r="L3" t="str">
        <f t="shared" ref="L3:L13" si="5">IF(AND(LEN(E3)=10,ISNUMBER(E3*1)),"Valid","Check")</f>
        <v>Valid</v>
      </c>
      <c r="M3" t="str">
        <f t="shared" ref="M3:M13" si="6">IF(AND(LEN(F3)=7,MID(F3,4,1)="-"),"Valid","Check")</f>
        <v>Valid</v>
      </c>
      <c r="N3" t="str">
        <f t="shared" ref="N3:N13" si="7">IF(AND(K3="Valid",L3="Valid",M3="Valid"),"OK","CHECK")</f>
        <v>OK</v>
      </c>
    </row>
    <row r="4" spans="1:14">
      <c r="A4" s="2" t="s">
        <v>16</v>
      </c>
      <c r="B4" t="str">
        <f>PROPER(TRIM(Raw_Data!B4))</f>
        <v>Sita Thapa</v>
      </c>
      <c r="C4" t="str">
        <f>LOWER(TRIM(Raw_Data!C4))</f>
        <v>sita@yahoo.com</v>
      </c>
      <c r="D4" t="str">
        <f>PROPER(TRIM(Raw_Data!D4))</f>
        <v>Pokhara</v>
      </c>
      <c r="E4" t="str">
        <f>TRIM(Raw_Data!E4)</f>
        <v>9860123456</v>
      </c>
      <c r="F4" t="str">
        <f>UPPER(TRIM(Raw_Data!F4))</f>
        <v>KEY-003</v>
      </c>
      <c r="G4" t="str">
        <f t="shared" si="0"/>
        <v>Sita</v>
      </c>
      <c r="H4" t="str">
        <f t="shared" si="1"/>
        <v>sita</v>
      </c>
      <c r="I4" t="str">
        <f t="shared" si="2"/>
        <v>KEY</v>
      </c>
      <c r="J4" t="str">
        <f t="shared" si="3"/>
        <v>003</v>
      </c>
      <c r="K4" t="str">
        <f t="shared" si="4"/>
        <v>Valid</v>
      </c>
      <c r="L4" t="str">
        <f t="shared" si="5"/>
        <v>Valid</v>
      </c>
      <c r="M4" t="str">
        <f t="shared" si="6"/>
        <v>Valid</v>
      </c>
      <c r="N4" t="str">
        <f t="shared" si="7"/>
        <v>OK</v>
      </c>
    </row>
    <row r="5" spans="1:14">
      <c r="A5" s="2" t="s">
        <v>21</v>
      </c>
      <c r="B5" t="str">
        <f>PROPER(TRIM(Raw_Data!B5))</f>
        <v>Pooja Shrestha</v>
      </c>
      <c r="C5" t="str">
        <f>LOWER(TRIM(Raw_Data!C5))</f>
        <v>pooja@gmail.com</v>
      </c>
      <c r="D5" t="str">
        <f>PROPER(TRIM(Raw_Data!D5))</f>
        <v>Pokhara</v>
      </c>
      <c r="E5" t="str">
        <f>TRIM(Raw_Data!E5)</f>
        <v>9801234567</v>
      </c>
      <c r="F5" t="str">
        <f>UPPER(TRIM(Raw_Data!F5))</f>
        <v>LAP-004</v>
      </c>
      <c r="G5" t="str">
        <f t="shared" si="0"/>
        <v>Pooja</v>
      </c>
      <c r="H5" t="str">
        <f t="shared" si="1"/>
        <v>pooja</v>
      </c>
      <c r="I5" t="str">
        <f t="shared" si="2"/>
        <v>LAP</v>
      </c>
      <c r="J5" t="str">
        <f t="shared" si="3"/>
        <v>004</v>
      </c>
      <c r="K5" t="str">
        <f t="shared" si="4"/>
        <v>Valid</v>
      </c>
      <c r="L5" t="str">
        <f t="shared" si="5"/>
        <v>Valid</v>
      </c>
      <c r="M5" t="str">
        <f t="shared" si="6"/>
        <v>Valid</v>
      </c>
      <c r="N5" t="str">
        <f t="shared" si="7"/>
        <v>OK</v>
      </c>
    </row>
    <row r="6" spans="1:14">
      <c r="A6" s="2" t="s">
        <v>26</v>
      </c>
      <c r="B6" t="str">
        <f>PROPER(TRIM(Raw_Data!B6))</f>
        <v>Kiran Gurung</v>
      </c>
      <c r="C6" t="str">
        <f>LOWER(TRIM(Raw_Data!C6))</f>
        <v>kiran@gmail.com</v>
      </c>
      <c r="D6" t="str">
        <f>PROPER(TRIM(Raw_Data!D6))</f>
        <v>Lalitpur</v>
      </c>
      <c r="E6" t="str">
        <f>TRIM(Raw_Data!E6)</f>
        <v>9845671234</v>
      </c>
      <c r="F6" t="str">
        <f>UPPER(TRIM(Raw_Data!F6))</f>
        <v>MON-005</v>
      </c>
      <c r="G6" t="str">
        <f t="shared" si="0"/>
        <v>Kiran</v>
      </c>
      <c r="H6" t="str">
        <f t="shared" si="1"/>
        <v>kiran</v>
      </c>
      <c r="I6" t="str">
        <f t="shared" si="2"/>
        <v>MON</v>
      </c>
      <c r="J6" t="str">
        <f t="shared" si="3"/>
        <v>005</v>
      </c>
      <c r="K6" t="str">
        <f t="shared" si="4"/>
        <v>Valid</v>
      </c>
      <c r="L6" t="str">
        <f t="shared" si="5"/>
        <v>Valid</v>
      </c>
      <c r="M6" t="str">
        <f t="shared" si="6"/>
        <v>Valid</v>
      </c>
      <c r="N6" t="str">
        <f t="shared" si="7"/>
        <v>OK</v>
      </c>
    </row>
    <row r="7" spans="1:14">
      <c r="A7" s="2" t="s">
        <v>31</v>
      </c>
      <c r="B7" t="str">
        <f>PROPER(TRIM(Raw_Data!B7))</f>
        <v>Amit Shah</v>
      </c>
      <c r="C7" t="str">
        <f>LOWER(TRIM(Raw_Data!C7))</f>
        <v>amit@gmail.com</v>
      </c>
      <c r="D7" t="str">
        <f>PROPER(TRIM(Raw_Data!D7))</f>
        <v>Lalitpur</v>
      </c>
      <c r="E7" t="str">
        <f>TRIM(Raw_Data!E7)</f>
        <v>9815678901</v>
      </c>
      <c r="F7" t="str">
        <f>UPPER(TRIM(Raw_Data!F7))</f>
        <v>MOU-006</v>
      </c>
      <c r="G7" t="str">
        <f t="shared" si="0"/>
        <v>Amit</v>
      </c>
      <c r="H7" t="str">
        <f t="shared" si="1"/>
        <v>amit</v>
      </c>
      <c r="I7" t="str">
        <f t="shared" si="2"/>
        <v>MOU</v>
      </c>
      <c r="J7" t="str">
        <f t="shared" si="3"/>
        <v>006</v>
      </c>
      <c r="K7" t="str">
        <f t="shared" si="4"/>
        <v>Valid</v>
      </c>
      <c r="L7" t="str">
        <f t="shared" si="5"/>
        <v>Valid</v>
      </c>
      <c r="M7" t="str">
        <f t="shared" si="6"/>
        <v>Valid</v>
      </c>
      <c r="N7" t="str">
        <f t="shared" si="7"/>
        <v>OK</v>
      </c>
    </row>
    <row r="8" spans="1:14">
      <c r="A8" s="2" t="s">
        <v>36</v>
      </c>
      <c r="B8" t="str">
        <f>PROPER(TRIM(Raw_Data!B8))</f>
        <v>Neha Rai</v>
      </c>
      <c r="C8" t="str">
        <f>LOWER(TRIM(Raw_Data!C8))</f>
        <v>neha@gmail.com</v>
      </c>
      <c r="D8" t="str">
        <f>PROPER(TRIM(Raw_Data!D8))</f>
        <v>Bharatpur</v>
      </c>
      <c r="E8" t="str">
        <f>TRIM(Raw_Data!E8)</f>
        <v>9865678901</v>
      </c>
      <c r="F8" t="str">
        <f>UPPER(TRIM(Raw_Data!F8))</f>
        <v>KEY-007</v>
      </c>
      <c r="G8" t="str">
        <f t="shared" si="0"/>
        <v>Neha</v>
      </c>
      <c r="H8" t="str">
        <f t="shared" si="1"/>
        <v>neha</v>
      </c>
      <c r="I8" t="str">
        <f t="shared" si="2"/>
        <v>KEY</v>
      </c>
      <c r="J8" t="str">
        <f t="shared" si="3"/>
        <v>007</v>
      </c>
      <c r="K8" t="str">
        <f t="shared" si="4"/>
        <v>Valid</v>
      </c>
      <c r="L8" t="str">
        <f t="shared" si="5"/>
        <v>Valid</v>
      </c>
      <c r="M8" t="str">
        <f t="shared" si="6"/>
        <v>Valid</v>
      </c>
      <c r="N8" t="str">
        <f t="shared" si="7"/>
        <v>OK</v>
      </c>
    </row>
    <row r="9" spans="1:14">
      <c r="A9" s="2" t="s">
        <v>41</v>
      </c>
      <c r="B9" t="str">
        <f>PROPER(TRIM(Raw_Data!B9))</f>
        <v>Bikash Tamang</v>
      </c>
      <c r="C9" t="str">
        <f>LOWER(TRIM(Raw_Data!C9))</f>
        <v>bikash@yahoo.com</v>
      </c>
      <c r="D9" t="str">
        <f>PROPER(TRIM(Raw_Data!D9))</f>
        <v>Bharatpur</v>
      </c>
      <c r="E9" t="str">
        <f>TRIM(Raw_Data!E9)</f>
        <v>9809876543</v>
      </c>
      <c r="F9" t="str">
        <f>UPPER(TRIM(Raw_Data!F9))</f>
        <v>LAP-008</v>
      </c>
      <c r="G9" t="str">
        <f t="shared" si="0"/>
        <v>Bikash</v>
      </c>
      <c r="H9" t="str">
        <f t="shared" si="1"/>
        <v>bikash</v>
      </c>
      <c r="I9" t="str">
        <f t="shared" si="2"/>
        <v>LAP</v>
      </c>
      <c r="J9" t="str">
        <f t="shared" si="3"/>
        <v>008</v>
      </c>
      <c r="K9" t="str">
        <f t="shared" si="4"/>
        <v>Valid</v>
      </c>
      <c r="L9" t="str">
        <f t="shared" si="5"/>
        <v>Valid</v>
      </c>
      <c r="M9" t="str">
        <f t="shared" si="6"/>
        <v>Valid</v>
      </c>
      <c r="N9" t="str">
        <f t="shared" si="7"/>
        <v>OK</v>
      </c>
    </row>
    <row r="10" spans="1:14">
      <c r="A10" s="2" t="s">
        <v>46</v>
      </c>
      <c r="B10" t="str">
        <f>PROPER(TRIM(Raw_Data!B10))</f>
        <v>Sarita Kc</v>
      </c>
      <c r="C10" t="str">
        <f>LOWER(TRIM(Raw_Data!C10))</f>
        <v>sarita@gmail.com</v>
      </c>
      <c r="D10" t="str">
        <f>PROPER(TRIM(Raw_Data!D10))</f>
        <v>Kathmandu</v>
      </c>
      <c r="E10" t="str">
        <f>TRIM(Raw_Data!E10)</f>
        <v>9845678901</v>
      </c>
      <c r="F10" t="str">
        <f>UPPER(TRIM(Raw_Data!F10))</f>
        <v>MON-009</v>
      </c>
      <c r="G10" t="str">
        <f t="shared" si="0"/>
        <v>Sarita</v>
      </c>
      <c r="H10" t="str">
        <f t="shared" si="1"/>
        <v>sarita</v>
      </c>
      <c r="I10" t="str">
        <f t="shared" si="2"/>
        <v>MON</v>
      </c>
      <c r="J10" t="str">
        <f t="shared" si="3"/>
        <v>009</v>
      </c>
      <c r="K10" t="str">
        <f t="shared" si="4"/>
        <v>Valid</v>
      </c>
      <c r="L10" t="str">
        <f t="shared" si="5"/>
        <v>Valid</v>
      </c>
      <c r="M10" t="str">
        <f t="shared" si="6"/>
        <v>Valid</v>
      </c>
      <c r="N10" t="str">
        <f t="shared" si="7"/>
        <v>OK</v>
      </c>
    </row>
    <row r="11" spans="1:14">
      <c r="A11" s="2" t="s">
        <v>50</v>
      </c>
      <c r="B11" t="str">
        <f>PROPER(TRIM(Raw_Data!B11))</f>
        <v>Ram Shrestha</v>
      </c>
      <c r="C11" t="str">
        <f>LOWER(TRIM(Raw_Data!C11))</f>
        <v>ram@yahoo.com</v>
      </c>
      <c r="D11" t="str">
        <f>PROPER(TRIM(Raw_Data!D11))</f>
        <v>Pokhara</v>
      </c>
      <c r="E11" t="str">
        <f>TRIM(Raw_Data!E11)</f>
        <v>9812345670</v>
      </c>
      <c r="F11" t="str">
        <f>UPPER(TRIM(Raw_Data!F11))</f>
        <v>KEY-010</v>
      </c>
      <c r="G11" t="str">
        <f t="shared" si="0"/>
        <v>Ram</v>
      </c>
      <c r="H11" t="str">
        <f t="shared" si="1"/>
        <v>ram</v>
      </c>
      <c r="I11" t="str">
        <f t="shared" si="2"/>
        <v>KEY</v>
      </c>
      <c r="J11" t="str">
        <f t="shared" si="3"/>
        <v>010</v>
      </c>
      <c r="K11" t="str">
        <f t="shared" si="4"/>
        <v>Valid</v>
      </c>
      <c r="L11" t="str">
        <f t="shared" si="5"/>
        <v>Valid</v>
      </c>
      <c r="M11" t="str">
        <f t="shared" si="6"/>
        <v>Valid</v>
      </c>
      <c r="N11" t="str">
        <f t="shared" si="7"/>
        <v>OK</v>
      </c>
    </row>
    <row r="12" spans="1:14">
      <c r="A12" s="2" t="s">
        <v>55</v>
      </c>
      <c r="B12" t="str">
        <f>PROPER(TRIM(Raw_Data!B12))</f>
        <v>Anu Gupta</v>
      </c>
      <c r="C12" t="str">
        <f>LOWER(TRIM(Raw_Data!C12))</f>
        <v>anu@gmail.com</v>
      </c>
      <c r="D12" t="str">
        <f>PROPER(TRIM(Raw_Data!D12))</f>
        <v>Lalitpur</v>
      </c>
      <c r="E12" t="str">
        <f>TRIM(Raw_Data!E12)</f>
        <v>9861234567</v>
      </c>
      <c r="F12" t="str">
        <f>UPPER(TRIM(Raw_Data!F12))</f>
        <v>MOU-011</v>
      </c>
      <c r="G12" t="str">
        <f t="shared" si="0"/>
        <v>Anu</v>
      </c>
      <c r="H12" t="str">
        <f t="shared" si="1"/>
        <v>anu</v>
      </c>
      <c r="I12" t="str">
        <f t="shared" si="2"/>
        <v>MOU</v>
      </c>
      <c r="J12" t="str">
        <f t="shared" si="3"/>
        <v>011</v>
      </c>
      <c r="K12" t="str">
        <f t="shared" si="4"/>
        <v>Valid</v>
      </c>
      <c r="L12" t="str">
        <f t="shared" si="5"/>
        <v>Valid</v>
      </c>
      <c r="M12" t="str">
        <f t="shared" si="6"/>
        <v>Valid</v>
      </c>
      <c r="N12" t="str">
        <f t="shared" si="7"/>
        <v>OK</v>
      </c>
    </row>
    <row r="13" spans="1:14">
      <c r="A13" s="2" t="s">
        <v>59</v>
      </c>
      <c r="B13" t="str">
        <f>PROPER(TRIM(Raw_Data!B13))</f>
        <v>Maya Adhikari</v>
      </c>
      <c r="C13" t="str">
        <f>LOWER(TRIM(Raw_Data!C13))</f>
        <v>maya@gmail.com</v>
      </c>
      <c r="D13" t="str">
        <f>PROPER(TRIM(Raw_Data!D13))</f>
        <v>Bharatpur</v>
      </c>
      <c r="E13" t="str">
        <f>TRIM(Raw_Data!E13)</f>
        <v>9801234560</v>
      </c>
      <c r="F13" t="str">
        <f>UPPER(TRIM(Raw_Data!F13))</f>
        <v>LAP-012</v>
      </c>
      <c r="G13" t="str">
        <f t="shared" si="0"/>
        <v>Maya</v>
      </c>
      <c r="H13" t="str">
        <f t="shared" si="1"/>
        <v>maya</v>
      </c>
      <c r="I13" t="str">
        <f t="shared" si="2"/>
        <v>LAP</v>
      </c>
      <c r="J13" t="str">
        <f t="shared" si="3"/>
        <v>012</v>
      </c>
      <c r="K13" t="str">
        <f t="shared" si="4"/>
        <v>Valid</v>
      </c>
      <c r="L13" t="str">
        <f t="shared" si="5"/>
        <v>Valid</v>
      </c>
      <c r="M13" t="str">
        <f t="shared" si="6"/>
        <v>Valid</v>
      </c>
      <c r="N13" t="str">
        <f t="shared" si="7"/>
        <v>OK</v>
      </c>
    </row>
    <row r="14" spans="1:14">
      <c r="A1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4191-14EA-419B-9356-593452A7DAA9}">
  <dimension ref="A1:B8"/>
  <sheetViews>
    <sheetView workbookViewId="0">
      <selection activeCell="B9" sqref="B9"/>
    </sheetView>
  </sheetViews>
  <sheetFormatPr defaultRowHeight="14.4"/>
  <cols>
    <col min="1" max="1" width="20.88671875" bestFit="1" customWidth="1"/>
  </cols>
  <sheetData>
    <row r="1" spans="1:2">
      <c r="A1" t="s">
        <v>67</v>
      </c>
      <c r="B1">
        <f>COUNTBLANK(Clean_Data!B2:B13)</f>
        <v>0</v>
      </c>
    </row>
    <row r="2" spans="1:2">
      <c r="A2" t="s">
        <v>68</v>
      </c>
      <c r="B2">
        <f>COUNTBLANK(Clean_Data!C2:C13)</f>
        <v>0</v>
      </c>
    </row>
    <row r="3" spans="1:2">
      <c r="A3" t="s">
        <v>69</v>
      </c>
      <c r="B3">
        <f>COUNTBLANK(Clean_Data!D2:D13)</f>
        <v>0</v>
      </c>
    </row>
    <row r="4" spans="1:2">
      <c r="A4" t="s">
        <v>70</v>
      </c>
      <c r="B4">
        <f>COUNTBLANK(Clean_Data!E2:E13)</f>
        <v>0</v>
      </c>
    </row>
    <row r="5" spans="1:2">
      <c r="A5" t="s">
        <v>71</v>
      </c>
      <c r="B5">
        <f>COUNTBLANK(Clean_Data!F2:F13)</f>
        <v>0</v>
      </c>
    </row>
    <row r="7" spans="1:2">
      <c r="A7" t="s">
        <v>72</v>
      </c>
      <c r="B7">
        <f>COUNTA(Raw_Data!A2:A13)</f>
        <v>12</v>
      </c>
    </row>
    <row r="8" spans="1:2">
      <c r="A8" t="s">
        <v>73</v>
      </c>
      <c r="B8" cm="1">
        <f t="array" ref="B8">SUMPRODUCT(1/COUNTIF(Clean_Data!A2:A13,Clean_Data!A2:A13))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Data_Quality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Jaiswal</dc:creator>
  <cp:lastModifiedBy>Anjali Jaiswal</cp:lastModifiedBy>
  <dcterms:created xsi:type="dcterms:W3CDTF">2026-08-23T07:10:15Z</dcterms:created>
  <dcterms:modified xsi:type="dcterms:W3CDTF">2026-08-25T16:17:05Z</dcterms:modified>
</cp:coreProperties>
</file>