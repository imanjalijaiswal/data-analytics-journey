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njal\OneDrive\Desktop\ExcelPractice\"/>
    </mc:Choice>
  </mc:AlternateContent>
  <xr:revisionPtr revIDLastSave="0" documentId="13_ncr:1_{3FFBC09E-9227-484D-8958-0563B61C2457}" xr6:coauthVersionLast="47" xr6:coauthVersionMax="47" xr10:uidLastSave="{00000000-0000-0000-0000-000000000000}"/>
  <bookViews>
    <workbookView xWindow="-108" yWindow="-108" windowWidth="23256" windowHeight="12456" firstSheet="1" activeTab="6" xr2:uid="{6BF6FB44-95A6-4179-86C4-8B261BE7EBF8}"/>
  </bookViews>
  <sheets>
    <sheet name="Datasheet" sheetId="1" r:id="rId1"/>
    <sheet name="Analysis" sheetId="2" r:id="rId2"/>
    <sheet name="12-Pivot_Analysis" sheetId="3" r:id="rId3"/>
    <sheet name="13-Dashboard" sheetId="4" r:id="rId4"/>
    <sheet name="14-CaseStudy" sheetId="5" r:id="rId5"/>
    <sheet name="15-MiniProject" sheetId="6" r:id="rId6"/>
    <sheet name="16-FinalAssesment" sheetId="7" r:id="rId7"/>
  </sheets>
  <definedNames>
    <definedName name="Slicer_Category">#N/A</definedName>
    <definedName name="Slicer_Region">#N/A</definedName>
    <definedName name="Slicer_Salesperson">#N/A</definedName>
  </definedNames>
  <calcPr calcId="191029"/>
  <pivotCaches>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1" i="7" l="1"/>
  <c r="G12" i="7"/>
  <c r="G13" i="7"/>
  <c r="G14" i="7"/>
  <c r="G10" i="7"/>
  <c r="F11" i="7"/>
  <c r="F12" i="7"/>
  <c r="F13" i="7"/>
  <c r="F14" i="7"/>
  <c r="F10" i="7"/>
  <c r="M13" i="7"/>
  <c r="L13" i="7"/>
  <c r="M12" i="7"/>
  <c r="L12" i="7"/>
  <c r="M11" i="7"/>
  <c r="L11" i="7"/>
  <c r="M10" i="7"/>
  <c r="L10" i="7"/>
  <c r="S14" i="7"/>
  <c r="R14" i="7"/>
  <c r="S13" i="7"/>
  <c r="R13" i="7"/>
  <c r="S12" i="7"/>
  <c r="R12" i="7"/>
  <c r="S11" i="7"/>
  <c r="R11" i="7"/>
  <c r="S10" i="7"/>
  <c r="R10" i="7"/>
  <c r="T3" i="7"/>
  <c r="T4" i="7"/>
  <c r="T5" i="7"/>
  <c r="T6" i="7"/>
  <c r="T2" i="7"/>
  <c r="S3" i="7"/>
  <c r="S4" i="7"/>
  <c r="S6" i="7"/>
  <c r="S5" i="7"/>
  <c r="S2" i="7"/>
  <c r="R3" i="7"/>
  <c r="R4" i="7"/>
  <c r="R6" i="7"/>
  <c r="R5" i="7"/>
  <c r="R2" i="7"/>
  <c r="M5" i="7"/>
  <c r="M3" i="7"/>
  <c r="M4" i="7"/>
  <c r="M2" i="7"/>
  <c r="L5" i="7"/>
  <c r="L3" i="7"/>
  <c r="L4" i="7"/>
  <c r="L2" i="7"/>
  <c r="G3" i="2"/>
  <c r="G4" i="2"/>
  <c r="G5" i="2"/>
  <c r="G6" i="2"/>
  <c r="G2" i="2"/>
  <c r="E3" i="2"/>
  <c r="E4" i="2"/>
  <c r="E5" i="2"/>
  <c r="E6" i="2"/>
  <c r="E2" i="2"/>
  <c r="M3" i="2"/>
  <c r="M4" i="2"/>
  <c r="M5" i="2"/>
  <c r="M2" i="2"/>
  <c r="L3" i="2"/>
  <c r="L4" i="2"/>
  <c r="L5" i="2"/>
  <c r="L2" i="2"/>
  <c r="D17" i="2" s="1"/>
  <c r="G6" i="7"/>
  <c r="G2" i="7"/>
  <c r="G3" i="7"/>
  <c r="G5" i="7"/>
  <c r="G4" i="7"/>
  <c r="F6" i="7"/>
  <c r="F2" i="7"/>
  <c r="F3" i="7"/>
  <c r="F5" i="7"/>
  <c r="F4" i="7"/>
  <c r="B6" i="7"/>
  <c r="B5" i="7"/>
  <c r="B4" i="7"/>
  <c r="B3" i="7"/>
  <c r="B2" i="7"/>
  <c r="X6" i="6"/>
  <c r="W6" i="6"/>
  <c r="X4" i="6"/>
  <c r="W4" i="6"/>
  <c r="W7" i="6" s="1"/>
  <c r="X3" i="6"/>
  <c r="Y3" i="6" s="1"/>
  <c r="Z3" i="6" s="1"/>
  <c r="W3" i="6"/>
  <c r="X5" i="6"/>
  <c r="Y5" i="6" s="1"/>
  <c r="Z5" i="6" s="1"/>
  <c r="W5" i="6"/>
  <c r="S7" i="6"/>
  <c r="T7" i="6" s="1"/>
  <c r="R7" i="6"/>
  <c r="T6" i="6"/>
  <c r="S6" i="6"/>
  <c r="R6" i="6"/>
  <c r="S5" i="6"/>
  <c r="T5" i="6" s="1"/>
  <c r="R5" i="6"/>
  <c r="S4" i="6"/>
  <c r="T4" i="6" s="1"/>
  <c r="R4" i="6"/>
  <c r="S3" i="6"/>
  <c r="T3" i="6" s="1"/>
  <c r="R3" i="6"/>
  <c r="M4" i="6"/>
  <c r="M5" i="6"/>
  <c r="M6" i="6"/>
  <c r="M7" i="6"/>
  <c r="M3" i="6"/>
  <c r="L4" i="6"/>
  <c r="L5" i="6"/>
  <c r="L6" i="6"/>
  <c r="L7" i="6"/>
  <c r="L3" i="6"/>
  <c r="G6" i="6"/>
  <c r="H6" i="6" s="1"/>
  <c r="I6" i="6" s="1"/>
  <c r="F6" i="6"/>
  <c r="G5" i="6"/>
  <c r="H5" i="6" s="1"/>
  <c r="I5" i="6" s="1"/>
  <c r="F5" i="6"/>
  <c r="G4" i="6"/>
  <c r="H4" i="6" s="1"/>
  <c r="I4" i="6" s="1"/>
  <c r="F4" i="6"/>
  <c r="G3" i="6"/>
  <c r="H3" i="6" s="1"/>
  <c r="I3" i="6" s="1"/>
  <c r="F3" i="6"/>
  <c r="B8" i="6"/>
  <c r="B7" i="6"/>
  <c r="B6" i="6"/>
  <c r="B5" i="6"/>
  <c r="B4" i="6"/>
  <c r="B3" i="6"/>
  <c r="B2" i="6"/>
  <c r="B6" i="5"/>
  <c r="B5" i="5"/>
  <c r="B4" i="5"/>
  <c r="T4" i="5"/>
  <c r="T5" i="5"/>
  <c r="T6" i="5"/>
  <c r="T7" i="5"/>
  <c r="T3" i="5"/>
  <c r="S4" i="5"/>
  <c r="S5" i="5"/>
  <c r="S6" i="5"/>
  <c r="S7" i="5"/>
  <c r="R4" i="5"/>
  <c r="R5" i="5"/>
  <c r="R6" i="5"/>
  <c r="R7" i="5"/>
  <c r="R3" i="5"/>
  <c r="S3" i="5"/>
  <c r="U13" i="5"/>
  <c r="U14" i="5"/>
  <c r="U15" i="5"/>
  <c r="U16" i="5"/>
  <c r="U12" i="5"/>
  <c r="T13" i="5"/>
  <c r="T14" i="5"/>
  <c r="T15" i="5"/>
  <c r="T16" i="5"/>
  <c r="T12" i="5"/>
  <c r="S13" i="5"/>
  <c r="S14" i="5"/>
  <c r="S15" i="5"/>
  <c r="S16" i="5"/>
  <c r="S12" i="5"/>
  <c r="R12" i="5"/>
  <c r="R13" i="5"/>
  <c r="R14" i="5"/>
  <c r="R15" i="5"/>
  <c r="R16" i="5"/>
  <c r="N13" i="5"/>
  <c r="N14" i="5"/>
  <c r="N15" i="5"/>
  <c r="N12" i="5"/>
  <c r="M13" i="5"/>
  <c r="M14" i="5"/>
  <c r="M15" i="5"/>
  <c r="M12" i="5"/>
  <c r="L13" i="5"/>
  <c r="L14" i="5"/>
  <c r="L15" i="5"/>
  <c r="L12" i="5"/>
  <c r="K13" i="5"/>
  <c r="K14" i="5"/>
  <c r="K15" i="5"/>
  <c r="K12" i="5"/>
  <c r="N4" i="5"/>
  <c r="N5" i="5"/>
  <c r="N6" i="5"/>
  <c r="N3" i="5"/>
  <c r="M4" i="5"/>
  <c r="M5" i="5"/>
  <c r="M6" i="5"/>
  <c r="M7" i="5"/>
  <c r="M3" i="5"/>
  <c r="L5" i="5"/>
  <c r="K5" i="5"/>
  <c r="L7" i="5"/>
  <c r="K7" i="5"/>
  <c r="L6" i="5"/>
  <c r="K6" i="5"/>
  <c r="L4" i="5"/>
  <c r="K4" i="5"/>
  <c r="L3" i="5"/>
  <c r="K3" i="5"/>
  <c r="K5" i="4"/>
  <c r="C5" i="4"/>
  <c r="I5" i="4"/>
  <c r="G5" i="4"/>
  <c r="E5" i="4"/>
  <c r="B8" i="2"/>
  <c r="D16" i="2"/>
  <c r="S3" i="2"/>
  <c r="S2" i="2"/>
  <c r="R3" i="2"/>
  <c r="R2" i="2"/>
  <c r="Q3" i="2"/>
  <c r="Q2" i="2"/>
  <c r="B7" i="2"/>
  <c r="B6" i="2"/>
  <c r="B5" i="2"/>
  <c r="B4" i="2"/>
  <c r="B3" i="2"/>
  <c r="B2" i="2"/>
  <c r="L2" i="1"/>
  <c r="L3" i="1"/>
  <c r="L4" i="1"/>
  <c r="L5" i="1"/>
  <c r="L6" i="1"/>
  <c r="L7" i="1"/>
  <c r="L8" i="1"/>
  <c r="L9" i="1"/>
  <c r="L10" i="1"/>
  <c r="L11" i="1"/>
  <c r="L12" i="1"/>
  <c r="L13" i="1"/>
  <c r="L14" i="1"/>
  <c r="L15" i="1"/>
  <c r="L16" i="1"/>
  <c r="L17" i="1"/>
  <c r="L18" i="1"/>
  <c r="L19" i="1"/>
  <c r="L20" i="1"/>
  <c r="L21" i="1"/>
  <c r="K3" i="1"/>
  <c r="K4" i="1"/>
  <c r="K5" i="1"/>
  <c r="K6" i="1"/>
  <c r="K7" i="1"/>
  <c r="K8" i="1"/>
  <c r="K9" i="1"/>
  <c r="K10" i="1"/>
  <c r="K11" i="1"/>
  <c r="K12" i="1"/>
  <c r="K13" i="1"/>
  <c r="K14" i="1"/>
  <c r="K15" i="1"/>
  <c r="K16" i="1"/>
  <c r="K17" i="1"/>
  <c r="K18" i="1"/>
  <c r="K19" i="1"/>
  <c r="K20" i="1"/>
  <c r="K21" i="1"/>
  <c r="K2" i="1"/>
  <c r="J2" i="1"/>
  <c r="J3" i="1"/>
  <c r="J4" i="1"/>
  <c r="J5" i="1"/>
  <c r="J6" i="1"/>
  <c r="J7" i="1"/>
  <c r="J8" i="1"/>
  <c r="J9" i="1"/>
  <c r="J10" i="1"/>
  <c r="J11" i="1"/>
  <c r="J12" i="1"/>
  <c r="J13" i="1"/>
  <c r="J14" i="1"/>
  <c r="J15" i="1"/>
  <c r="J16" i="1"/>
  <c r="J17" i="1"/>
  <c r="J18" i="1"/>
  <c r="J19" i="1"/>
  <c r="J20" i="1"/>
  <c r="J21" i="1"/>
  <c r="D8" i="3"/>
  <c r="D10" i="3"/>
  <c r="D11" i="3"/>
  <c r="F40" i="3"/>
  <c r="D9" i="3"/>
  <c r="T12" i="7" l="1"/>
  <c r="N11" i="7"/>
  <c r="O11" i="7" s="1"/>
  <c r="N12" i="7"/>
  <c r="O12" i="7" s="1"/>
  <c r="N13" i="7"/>
  <c r="O13" i="7" s="1"/>
  <c r="T11" i="7"/>
  <c r="T10" i="7"/>
  <c r="T13" i="7"/>
  <c r="T14" i="7"/>
  <c r="N10" i="7"/>
  <c r="O10" i="7" s="1"/>
  <c r="H11" i="7"/>
  <c r="I11" i="7" s="1"/>
  <c r="H12" i="7"/>
  <c r="I12" i="7" s="1"/>
  <c r="H13" i="7"/>
  <c r="I13" i="7" s="1"/>
  <c r="H14" i="7"/>
  <c r="I14" i="7" s="1"/>
  <c r="H10" i="7"/>
  <c r="I10" i="7" s="1"/>
  <c r="U3" i="7"/>
  <c r="U6" i="7"/>
  <c r="U5" i="7"/>
  <c r="U4" i="7"/>
  <c r="U2" i="7"/>
  <c r="N5" i="7"/>
  <c r="N3" i="7"/>
  <c r="H5" i="7"/>
  <c r="H6" i="7"/>
  <c r="N4" i="7"/>
  <c r="N2" i="7"/>
  <c r="N5" i="2"/>
  <c r="N4" i="2"/>
  <c r="N3" i="2"/>
  <c r="N2" i="2"/>
  <c r="D18" i="2" s="1"/>
  <c r="H3" i="7"/>
  <c r="H2" i="7"/>
  <c r="H4" i="7"/>
  <c r="X7" i="6"/>
  <c r="Y7" i="6" s="1"/>
  <c r="Y6" i="6"/>
  <c r="Z6" i="6" s="1"/>
  <c r="Y4" i="6"/>
  <c r="Z4" i="6" s="1"/>
  <c r="N5" i="6"/>
  <c r="O5" i="6" s="1"/>
  <c r="N4" i="6"/>
  <c r="O4" i="6" s="1"/>
  <c r="N7" i="6"/>
  <c r="O7" i="6" s="1"/>
  <c r="N6" i="6"/>
  <c r="O6" i="6" s="1"/>
  <c r="N3" i="6"/>
  <c r="O3" i="6" s="1"/>
  <c r="F2" i="2"/>
  <c r="F6" i="2"/>
  <c r="F5" i="2"/>
  <c r="F4" i="2"/>
  <c r="F3" i="2"/>
  <c r="H2" i="2"/>
  <c r="I2" i="2" s="1"/>
  <c r="H6" i="2"/>
  <c r="I6" i="2" s="1"/>
  <c r="H5" i="2"/>
  <c r="I5" i="2" s="1"/>
  <c r="H4" i="2"/>
  <c r="I4" i="2" s="1"/>
  <c r="H3" i="2"/>
  <c r="I3" i="2" s="1"/>
  <c r="D14" i="2"/>
  <c r="D15" i="2"/>
</calcChain>
</file>

<file path=xl/sharedStrings.xml><?xml version="1.0" encoding="utf-8"?>
<sst xmlns="http://schemas.openxmlformats.org/spreadsheetml/2006/main" count="446" uniqueCount="158">
  <si>
    <t>Order ID</t>
  </si>
  <si>
    <t>Date</t>
  </si>
  <si>
    <t>Region</t>
  </si>
  <si>
    <t>Salesperson</t>
  </si>
  <si>
    <t>Category</t>
  </si>
  <si>
    <t>Product</t>
  </si>
  <si>
    <t>Units</t>
  </si>
  <si>
    <t>Revenue</t>
  </si>
  <si>
    <t>Cost</t>
  </si>
  <si>
    <t>O001</t>
  </si>
  <si>
    <t>Kathmandu</t>
  </si>
  <si>
    <t>Anisha</t>
  </si>
  <si>
    <t>Electronics</t>
  </si>
  <si>
    <t>Laptop</t>
  </si>
  <si>
    <t>O002</t>
  </si>
  <si>
    <t>Lalitpur</t>
  </si>
  <si>
    <t>Rahul</t>
  </si>
  <si>
    <t>Accessories</t>
  </si>
  <si>
    <t>Mouse</t>
  </si>
  <si>
    <t>O003</t>
  </si>
  <si>
    <t>Priya</t>
  </si>
  <si>
    <t>Monitor</t>
  </si>
  <si>
    <t>O004</t>
  </si>
  <si>
    <t>Pokhara</t>
  </si>
  <si>
    <t>Suman</t>
  </si>
  <si>
    <t>Keyboard</t>
  </si>
  <si>
    <t>O005</t>
  </si>
  <si>
    <t>Bharatpur</t>
  </si>
  <si>
    <t>Riya</t>
  </si>
  <si>
    <t>Webcam</t>
  </si>
  <si>
    <t>O006</t>
  </si>
  <si>
    <t>O007</t>
  </si>
  <si>
    <t>O008</t>
  </si>
  <si>
    <t>O009</t>
  </si>
  <si>
    <t>O010</t>
  </si>
  <si>
    <t>O011</t>
  </si>
  <si>
    <t>O012</t>
  </si>
  <si>
    <t>O013</t>
  </si>
  <si>
    <t>O014</t>
  </si>
  <si>
    <t>O015</t>
  </si>
  <si>
    <t>O016</t>
  </si>
  <si>
    <t>O017</t>
  </si>
  <si>
    <t>O018</t>
  </si>
  <si>
    <t>O019</t>
  </si>
  <si>
    <t>O020</t>
  </si>
  <si>
    <t>Profit</t>
  </si>
  <si>
    <t>Profit Margin</t>
  </si>
  <si>
    <t>Revenue per Units</t>
  </si>
  <si>
    <t>KPI</t>
  </si>
  <si>
    <t>Value</t>
  </si>
  <si>
    <t>Total Revenue</t>
  </si>
  <si>
    <t>Total Cost</t>
  </si>
  <si>
    <t>Total Profit</t>
  </si>
  <si>
    <t>Total Units</t>
  </si>
  <si>
    <t>Overall Profit Margin</t>
  </si>
  <si>
    <t>Average Order Value</t>
  </si>
  <si>
    <t>Number of Orders</t>
  </si>
  <si>
    <t>% of Total</t>
  </si>
  <si>
    <t>Who generates the most revenue</t>
  </si>
  <si>
    <t>How dependent is the business on its top salesperson?</t>
  </si>
  <si>
    <t>Business Flag</t>
  </si>
  <si>
    <t>Month</t>
  </si>
  <si>
    <t>March</t>
  </si>
  <si>
    <t>April</t>
  </si>
  <si>
    <t>Month-over-month growth</t>
  </si>
  <si>
    <t>Which region generated the highest revenue?</t>
  </si>
  <si>
    <t>Which region has the highest profit margin?</t>
  </si>
  <si>
    <t>Which salesperson should be flagged for review based on the 25% profit-margin rule?</t>
  </si>
  <si>
    <t>Did revenue increase or decrease from March to April? By what percentage?</t>
  </si>
  <si>
    <r>
      <t xml:space="preserve">Write </t>
    </r>
    <r>
      <rPr>
        <b/>
        <sz val="11"/>
        <color theme="1"/>
        <rFont val="Calibri"/>
        <family val="2"/>
        <scheme val="minor"/>
      </rPr>
      <t>3 business recommendations</t>
    </r>
    <r>
      <rPr>
        <sz val="11"/>
        <color theme="1"/>
        <rFont val="Calibri"/>
        <family val="2"/>
        <scheme val="minor"/>
      </rPr>
      <t xml:space="preserve"> based on your analysis.</t>
    </r>
  </si>
  <si>
    <t>Priya contributes approximately 38.2% of total revenue, indicating a relatively high dependence on one salesperson.</t>
  </si>
  <si>
    <t>Priya generates the highest revenue but has a profit margin below 25%. Management should review the pricing, discounts, product mix, or costs associated with her sales to improve profitability.</t>
  </si>
  <si>
    <t>Kathmandu should remain a key revenue market, while the company should investigate Lalitpur's higher profit margin to identify practices that could be replicated in other regions.</t>
  </si>
  <si>
    <t>Revenue decreased by 54.3% from March to April. Management should investigate the reasons for the sharp decline and develop actions to stabilize monthly sales.</t>
  </si>
  <si>
    <t>Priya,Anisha,Suman</t>
  </si>
  <si>
    <t>decreased by 54.30%</t>
  </si>
  <si>
    <t>Row Labels</t>
  </si>
  <si>
    <t>Grand Total</t>
  </si>
  <si>
    <t>Sum of Revenue</t>
  </si>
  <si>
    <t>Sum of Profit</t>
  </si>
  <si>
    <t>Sum of Units</t>
  </si>
  <si>
    <t>Mar</t>
  </si>
  <si>
    <t>Apr</t>
  </si>
  <si>
    <t>2026</t>
  </si>
  <si>
    <t>Which region has the highest revenue?</t>
  </si>
  <si>
    <t>Which region has the highest profit?</t>
  </si>
  <si>
    <t>Which salesperson has the highest revenue?</t>
  </si>
  <si>
    <t>Which salesperson generates the highest profit?</t>
  </si>
  <si>
    <t>Which category generates the highest revenue?</t>
  </si>
  <si>
    <t>Which product generates the highest revenue?</t>
  </si>
  <si>
    <t>Which month has higher revenue — March or April?</t>
  </si>
  <si>
    <t>What is the percentage change in revenue between the two months?</t>
  </si>
  <si>
    <r>
      <t xml:space="preserve">Using the PivotTables and slicers, write </t>
    </r>
    <r>
      <rPr>
        <b/>
        <sz val="11"/>
        <color theme="1"/>
        <rFont val="Calibri"/>
        <family val="2"/>
        <scheme val="minor"/>
      </rPr>
      <t>3 business insights</t>
    </r>
    <r>
      <rPr>
        <sz val="11"/>
        <color theme="1"/>
        <rFont val="Calibri"/>
        <family val="2"/>
        <scheme val="minor"/>
      </rPr>
      <t>.</t>
    </r>
  </si>
  <si>
    <t>decrease</t>
  </si>
  <si>
    <t>SALES PERFORMANCE DASHBOARD</t>
  </si>
  <si>
    <t>March-April 2026</t>
  </si>
  <si>
    <t>Total Orders</t>
  </si>
  <si>
    <t>Total Profit Margin</t>
  </si>
  <si>
    <t>Revenue by Region</t>
  </si>
  <si>
    <t>Revenue by Month</t>
  </si>
  <si>
    <t>Salesperson Performance</t>
  </si>
  <si>
    <t>Product Performance</t>
  </si>
  <si>
    <t>Business Insights</t>
  </si>
  <si>
    <t>Revenue Growth</t>
  </si>
  <si>
    <t>SALES PERFORMANCE CASE STUDY</t>
  </si>
  <si>
    <t>Question</t>
  </si>
  <si>
    <t>Your Answer</t>
  </si>
  <si>
    <t>1. Why did April revenue fall?</t>
  </si>
  <si>
    <t>2. Which region contributed most to the decline?</t>
  </si>
  <si>
    <t>3. Which salesperson contributed most to the decline?</t>
  </si>
  <si>
    <t>4. Which product/category performed poorly?</t>
  </si>
  <si>
    <t>5. Did profitability also decline?</t>
  </si>
  <si>
    <t>6. What is the biggest business risk?</t>
  </si>
  <si>
    <t>7. What should management do?</t>
  </si>
  <si>
    <t>Metric</t>
  </si>
  <si>
    <t>Change</t>
  </si>
  <si>
    <t>Growth %</t>
  </si>
  <si>
    <t>Orders</t>
  </si>
  <si>
    <t>Monthly Analysis</t>
  </si>
  <si>
    <t>March Revenue</t>
  </si>
  <si>
    <t>April Revenue</t>
  </si>
  <si>
    <t>Region Analysis</t>
  </si>
  <si>
    <t>SalesPerson Analysis</t>
  </si>
  <si>
    <t>Product Analysis</t>
  </si>
  <si>
    <t>April revenue fell mainly because of a sharp decline in Kathmandu revenue and a major drop in Monitor sales. Kathmandu declined by ₹388,000, while Monitor revenue fell by ₹360,000.</t>
  </si>
  <si>
    <t>Yes. Profit declined from ₹259,200 to ₹110,400, while profit margin decreased from 22.52% to 20.99%.</t>
  </si>
  <si>
    <t>The biggest business risk is the sharp dependence on key revenue sources, particularly Kathmandu and major products such as Monitor and Laptop. The significant decline in these areas caused a large overall revenue and profit reduction in April.</t>
  </si>
  <si>
    <t>1. Investigate: Investigate the reasons for the sharp decline in Kathmandu and Monitor sales, including stock availability, customer demand, pricing and salesperson performance.
2. Recover: Develop a recovery plan for Monitor sales and focus sales efforts on high-potential customers and regions while maintaining Laptop performance.
3. Reduce risk: Diversify revenue across products and regions to reduce dependence on a small number of major revenue sources and monitor performance weekly.</t>
  </si>
  <si>
    <t>Why did April perform worse than March?</t>
  </si>
  <si>
    <t>Recommendation</t>
  </si>
  <si>
    <t>Executive Summary</t>
  </si>
  <si>
    <t>April revenue declined substantially compared with March, primarily due to a sharp decline in Kathmandu revenue and a major drop in Monitor sales. Kathmandu revenue decreased by ₹388,000, while Monitor revenue decreased by ₹360,000.</t>
  </si>
  <si>
    <t>Biggest Problem</t>
  </si>
  <si>
    <t>Kathmandu lost ₹388,000 and Monitor lost ₹360,000 in revenue from March to April, creating significant dependence on a small number of products and regions.</t>
  </si>
  <si>
    <t>Diversify revenue across products and regions to reduce dependence on a small number of major revenue sources, and monitor performance weekly.</t>
  </si>
  <si>
    <t>Investigate the sharp decline in Kathmandu &amp; Monitor sales...</t>
  </si>
  <si>
    <t>Develop a recovery plan for Monitor sales while maintaining laptop sales.</t>
  </si>
  <si>
    <t>Company revenue declined by 54.30% from March to April.</t>
  </si>
  <si>
    <t>Kathmandu, the highest-revenue region in March, experienced a substantial decline in April. Monitor sales also decreased significantly.</t>
  </si>
  <si>
    <t>Management should investigate the sharp declines in Kathmandu and Monitor sales, develop a recovery plan, and establish weekly performance monitoring.</t>
  </si>
  <si>
    <t>What performed well?</t>
  </si>
  <si>
    <t>Pokhara and Suman showed comparatively stronger performance, experiencing the smallest revenue declines among regions and salespeople respectively.</t>
  </si>
  <si>
    <t>Biggest Business Problem</t>
  </si>
  <si>
    <t>Kathmandu revenue decreased from Rs. 688000 to Rs. 300000 which equals to loss of 388000  in revenue from March to April, creating significant dependence on a small number of products and regions.</t>
  </si>
  <si>
    <t>Positive Insight</t>
  </si>
  <si>
    <t>Management Recommendation</t>
  </si>
  <si>
    <t>1. Investigate: Investigate the reasons for the sharp decline in Kathmandu and Monitor sales, including stock availability, customer demand, pricing and salesperson performance.</t>
  </si>
  <si>
    <t>2. Recover: Develop a recovery plan for Monitor sales and focus sales efforts on high-potential customers and regions while maintaining Laptop performance.</t>
  </si>
  <si>
    <t>3. Reduce risk: Diversify revenue across products and regions to reduce dependence on a small number of major revenue sources and monitor performance weekly.</t>
  </si>
  <si>
    <t>Additional Question</t>
  </si>
  <si>
    <t>Was low customer demand the problem?</t>
  </si>
  <si>
    <t>Did the smaller order cause the decline?</t>
  </si>
  <si>
    <t>Was the lack of stock the problem?</t>
  </si>
  <si>
    <t>Pokhara showed the strongest regional resilience, with revenue declining by only ₹58,000 (-26.61%) from March to April, the smallest decline among the four regions.</t>
  </si>
  <si>
    <t>Suman showed comparatively strong performance, with the smallest salesperson revenue decline of ₹58,000 (-26.61%) from March to April.</t>
  </si>
  <si>
    <t>pricing/discount data</t>
  </si>
  <si>
    <t>marketing data</t>
  </si>
  <si>
    <t>cancellation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</si>
</sst>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Calibri"/>
      <family val="2"/>
      <scheme val="minor"/>
    </font>
    <font>
      <sz val="9"/>
      <color theme="1"/>
      <name val="Calibri"/>
      <family val="2"/>
      <scheme val="minor"/>
    </font>
    <font>
      <sz val="10"/>
      <color theme="1"/>
      <name val="Calibri"/>
      <family val="2"/>
      <scheme val="minor"/>
    </font>
    <font>
      <b/>
      <sz val="14"/>
      <color theme="1"/>
      <name val="Calibri"/>
      <family val="2"/>
      <scheme val="minor"/>
    </font>
    <font>
      <b/>
      <sz val="20"/>
      <color theme="1"/>
      <name val="Calibri"/>
      <family val="2"/>
      <scheme val="minor"/>
    </font>
    <font>
      <b/>
      <i/>
      <sz val="12"/>
      <color theme="1"/>
      <name val="Calibri"/>
      <family val="2"/>
      <scheme val="minor"/>
    </font>
    <font>
      <b/>
      <sz val="15"/>
      <color theme="1"/>
      <name val="Calibri"/>
      <family val="2"/>
      <scheme val="minor"/>
    </font>
    <font>
      <b/>
      <sz val="13"/>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s>
  <borders count="12">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77">
    <xf numFmtId="0" fontId="0" fillId="0" borderId="0" xfId="0"/>
    <xf numFmtId="0" fontId="2" fillId="0" borderId="0" xfId="0" applyFont="1" applyAlignment="1">
      <alignment horizontal="center" vertical="center" wrapText="1"/>
    </xf>
    <xf numFmtId="0" fontId="0" fillId="0" borderId="0" xfId="0" applyAlignment="1">
      <alignment horizontal="right" vertical="center" wrapText="1"/>
    </xf>
    <xf numFmtId="0" fontId="2" fillId="0" borderId="0" xfId="0" applyFont="1" applyAlignment="1">
      <alignment horizontal="right" vertical="center" wrapText="1"/>
    </xf>
    <xf numFmtId="0" fontId="0" fillId="0" borderId="0" xfId="0" applyAlignment="1">
      <alignment vertical="center" wrapText="1"/>
    </xf>
    <xf numFmtId="15" fontId="0" fillId="0" borderId="0" xfId="0" applyNumberFormat="1" applyAlignment="1">
      <alignment vertical="center" wrapText="1"/>
    </xf>
    <xf numFmtId="10" fontId="0" fillId="0" borderId="0" xfId="1" applyNumberFormat="1" applyFont="1" applyAlignment="1">
      <alignment horizontal="right" vertical="center" wrapText="1"/>
    </xf>
    <xf numFmtId="10"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applyAlignment="1">
      <alignment horizontal="center" vertical="center"/>
    </xf>
    <xf numFmtId="0" fontId="0" fillId="2" borderId="0" xfId="0" applyFill="1"/>
    <xf numFmtId="0" fontId="0" fillId="2" borderId="0" xfId="0" applyFill="1" applyAlignment="1">
      <alignment vertical="center"/>
    </xf>
    <xf numFmtId="10" fontId="0" fillId="2" borderId="0" xfId="0" applyNumberFormat="1" applyFill="1" applyAlignment="1">
      <alignment horizontal="center" vertical="center"/>
    </xf>
    <xf numFmtId="0" fontId="2" fillId="0" borderId="6" xfId="0" applyFont="1" applyBorder="1" applyAlignment="1">
      <alignment horizontal="center" vertical="center" wrapText="1"/>
    </xf>
    <xf numFmtId="0" fontId="2" fillId="0" borderId="7" xfId="0" applyFont="1" applyBorder="1" applyAlignment="1">
      <alignment horizontal="right" vertical="center" wrapText="1"/>
    </xf>
    <xf numFmtId="0" fontId="0" fillId="0" borderId="6" xfId="0" applyBorder="1" applyAlignment="1">
      <alignment vertical="center" wrapText="1"/>
    </xf>
    <xf numFmtId="0" fontId="0" fillId="0" borderId="7" xfId="0" applyBorder="1" applyAlignment="1">
      <alignment horizontal="right" vertical="center" wrapText="1"/>
    </xf>
    <xf numFmtId="0" fontId="0" fillId="0" borderId="3" xfId="0" applyBorder="1" applyAlignment="1">
      <alignment vertical="center" wrapText="1"/>
    </xf>
    <xf numFmtId="0" fontId="0" fillId="0" borderId="8" xfId="0" applyBorder="1" applyAlignment="1">
      <alignment horizontal="right" vertical="center" wrapText="1"/>
    </xf>
    <xf numFmtId="0" fontId="0" fillId="0" borderId="4" xfId="0" applyBorder="1" applyAlignment="1">
      <alignment horizontal="right" vertical="center" wrapText="1"/>
    </xf>
    <xf numFmtId="10" fontId="0" fillId="0" borderId="8" xfId="1" applyNumberFormat="1" applyFont="1" applyBorder="1" applyAlignment="1">
      <alignment horizontal="right" vertical="center" wrapText="1"/>
    </xf>
    <xf numFmtId="9" fontId="0" fillId="0" borderId="0" xfId="1" applyFont="1"/>
    <xf numFmtId="10" fontId="0" fillId="0" borderId="7" xfId="1" applyNumberFormat="1" applyFont="1" applyBorder="1" applyAlignment="1">
      <alignment horizontal="right" vertical="center" wrapText="1"/>
    </xf>
    <xf numFmtId="10" fontId="0" fillId="0" borderId="4" xfId="1" applyNumberFormat="1" applyFont="1" applyBorder="1" applyAlignment="1">
      <alignment horizontal="right" vertical="center" wrapText="1"/>
    </xf>
    <xf numFmtId="0" fontId="0" fillId="0" borderId="9" xfId="0" applyBorder="1" applyAlignment="1">
      <alignment vertical="center" wrapText="1"/>
    </xf>
    <xf numFmtId="0" fontId="0" fillId="0" borderId="10" xfId="0" applyBorder="1" applyAlignment="1">
      <alignment horizontal="right" vertical="center" wrapText="1"/>
    </xf>
    <xf numFmtId="10" fontId="0" fillId="0" borderId="11" xfId="1" applyNumberFormat="1" applyFont="1" applyBorder="1" applyAlignment="1">
      <alignment horizontal="right" vertical="center" wrapText="1"/>
    </xf>
    <xf numFmtId="0" fontId="0" fillId="0" borderId="0" xfId="1" applyNumberFormat="1" applyFont="1" applyAlignment="1">
      <alignment horizontal="right" vertical="center" wrapText="1"/>
    </xf>
    <xf numFmtId="0" fontId="2" fillId="0" borderId="1" xfId="0" applyFont="1" applyBorder="1" applyAlignment="1">
      <alignment horizontal="center" vertical="center" wrapText="1"/>
    </xf>
    <xf numFmtId="0" fontId="2" fillId="0" borderId="2" xfId="0" applyFont="1" applyBorder="1" applyAlignment="1">
      <alignment horizontal="right" vertical="center" wrapText="1"/>
    </xf>
    <xf numFmtId="0" fontId="0" fillId="0" borderId="6" xfId="0" applyBorder="1" applyAlignment="1">
      <alignment vertical="top"/>
    </xf>
    <xf numFmtId="0" fontId="0" fillId="0" borderId="0" xfId="0" applyAlignment="1">
      <alignment vertical="top"/>
    </xf>
    <xf numFmtId="0" fontId="2" fillId="0" borderId="0" xfId="0" applyFont="1" applyAlignment="1">
      <alignment vertical="top"/>
    </xf>
    <xf numFmtId="0" fontId="2" fillId="0" borderId="0" xfId="0" applyFont="1"/>
    <xf numFmtId="0" fontId="0" fillId="0" borderId="0" xfId="0" applyAlignment="1">
      <alignment horizontal="left" vertical="top"/>
    </xf>
    <xf numFmtId="0" fontId="6" fillId="0" borderId="1" xfId="0" applyFont="1"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6" fillId="0" borderId="5" xfId="0" applyFont="1" applyBorder="1" applyAlignment="1">
      <alignment horizontal="center" vertical="center"/>
    </xf>
    <xf numFmtId="0" fontId="6" fillId="0" borderId="2" xfId="0" applyFont="1" applyBorder="1" applyAlignment="1">
      <alignment horizontal="center" vertical="center"/>
    </xf>
    <xf numFmtId="0" fontId="2" fillId="0" borderId="0" xfId="0" applyFont="1" applyAlignment="1">
      <alignment horizontal="center"/>
    </xf>
    <xf numFmtId="0" fontId="0" fillId="0" borderId="0" xfId="0" applyAlignment="1">
      <alignment horizontal="center"/>
    </xf>
    <xf numFmtId="0" fontId="6" fillId="2" borderId="0" xfId="0" applyFont="1" applyFill="1" applyAlignment="1">
      <alignment horizontal="center"/>
    </xf>
    <xf numFmtId="0" fontId="4" fillId="2" borderId="0" xfId="0" applyFont="1" applyFill="1" applyAlignment="1">
      <alignment horizontal="center" vertical="center"/>
    </xf>
    <xf numFmtId="0" fontId="0" fillId="2" borderId="0" xfId="0" applyFill="1" applyAlignment="1">
      <alignment horizontal="center" vertical="center"/>
    </xf>
    <xf numFmtId="0" fontId="5" fillId="2" borderId="0" xfId="0" applyFont="1" applyFill="1" applyAlignment="1">
      <alignment horizontal="center" vertical="center"/>
    </xf>
    <xf numFmtId="164" fontId="9" fillId="3" borderId="3" xfId="0" applyNumberFormat="1" applyFont="1" applyFill="1" applyBorder="1" applyAlignment="1">
      <alignment horizontal="center" vertical="center"/>
    </xf>
    <xf numFmtId="164" fontId="9" fillId="3" borderId="4" xfId="0" applyNumberFormat="1" applyFont="1" applyFill="1" applyBorder="1" applyAlignment="1">
      <alignment horizontal="center" vertical="center"/>
    </xf>
    <xf numFmtId="0" fontId="9" fillId="3" borderId="3" xfId="0" applyFont="1" applyFill="1" applyBorder="1" applyAlignment="1">
      <alignment horizontal="center" vertical="center"/>
    </xf>
    <xf numFmtId="0" fontId="9" fillId="3" borderId="4" xfId="0" applyFont="1" applyFill="1" applyBorder="1" applyAlignment="1">
      <alignment horizontal="center" vertical="center"/>
    </xf>
    <xf numFmtId="10" fontId="9" fillId="3" borderId="3" xfId="0" applyNumberFormat="1" applyFont="1" applyFill="1" applyBorder="1" applyAlignment="1">
      <alignment horizontal="center" vertical="center"/>
    </xf>
    <xf numFmtId="0" fontId="7" fillId="2" borderId="0" xfId="0" applyFont="1" applyFill="1" applyAlignment="1">
      <alignment horizontal="center" vertical="center"/>
    </xf>
    <xf numFmtId="0" fontId="10" fillId="2" borderId="0" xfId="0" applyFont="1" applyFill="1" applyAlignment="1">
      <alignment horizontal="center"/>
    </xf>
    <xf numFmtId="0" fontId="10" fillId="2" borderId="0" xfId="0" applyFont="1" applyFill="1" applyAlignment="1">
      <alignment horizontal="center" vertical="center"/>
    </xf>
    <xf numFmtId="0" fontId="8" fillId="2" borderId="0" xfId="0" applyFont="1" applyFill="1" applyAlignment="1">
      <alignment horizontal="center"/>
    </xf>
    <xf numFmtId="0" fontId="3" fillId="2" borderId="0" xfId="0" applyFont="1" applyFill="1" applyAlignment="1">
      <alignment horizontal="center"/>
    </xf>
    <xf numFmtId="0" fontId="2" fillId="3" borderId="1" xfId="0" applyFont="1" applyFill="1" applyBorder="1" applyAlignment="1">
      <alignment horizontal="center" vertical="center"/>
    </xf>
    <xf numFmtId="0" fontId="0" fillId="3" borderId="2" xfId="0" applyFill="1" applyBorder="1" applyAlignment="1">
      <alignment horizontal="center" vertical="center"/>
    </xf>
    <xf numFmtId="0" fontId="9" fillId="0" borderId="0" xfId="0" applyFont="1" applyAlignment="1">
      <alignment horizontal="center"/>
    </xf>
    <xf numFmtId="0" fontId="0" fillId="0" borderId="0" xfId="0" applyAlignment="1">
      <alignment horizontal="center" vertical="center" wrapText="1"/>
    </xf>
    <xf numFmtId="0" fontId="2" fillId="0" borderId="0" xfId="0" applyFont="1" applyBorder="1" applyAlignment="1">
      <alignment horizontal="right" vertical="center" wrapText="1"/>
    </xf>
    <xf numFmtId="0" fontId="0" fillId="0" borderId="0" xfId="0" applyBorder="1" applyAlignment="1">
      <alignment horizontal="right" vertical="center" wrapText="1"/>
    </xf>
    <xf numFmtId="0" fontId="0" fillId="0" borderId="0" xfId="0" applyBorder="1" applyAlignment="1">
      <alignment vertical="center" wrapText="1"/>
    </xf>
    <xf numFmtId="10" fontId="0" fillId="0" borderId="0" xfId="1" applyNumberFormat="1" applyFont="1" applyBorder="1" applyAlignment="1">
      <alignment horizontal="right" vertical="center" wrapText="1"/>
    </xf>
    <xf numFmtId="0" fontId="6" fillId="0" borderId="0" xfId="0" applyFont="1" applyBorder="1" applyAlignment="1">
      <alignment vertical="center"/>
    </xf>
    <xf numFmtId="0" fontId="2" fillId="0" borderId="0" xfId="0" applyFont="1" applyBorder="1" applyAlignment="1">
      <alignment vertical="center"/>
    </xf>
    <xf numFmtId="0" fontId="0" fillId="0" borderId="0" xfId="0" applyFont="1" applyBorder="1" applyAlignment="1">
      <alignment horizontal="center" vertical="center" wrapText="1"/>
    </xf>
    <xf numFmtId="0" fontId="0" fillId="0" borderId="0" xfId="0" applyFont="1" applyBorder="1" applyAlignment="1">
      <alignment horizontal="right" vertical="center" wrapText="1"/>
    </xf>
    <xf numFmtId="0" fontId="2" fillId="0" borderId="5" xfId="0" applyFont="1" applyBorder="1" applyAlignment="1">
      <alignment horizontal="right" vertical="center" wrapText="1"/>
    </xf>
    <xf numFmtId="0" fontId="2" fillId="0" borderId="1" xfId="0" applyFont="1" applyBorder="1"/>
    <xf numFmtId="0" fontId="2" fillId="0" borderId="5" xfId="0" applyFont="1" applyBorder="1" applyAlignment="1">
      <alignment vertical="center"/>
    </xf>
    <xf numFmtId="0" fontId="2" fillId="0" borderId="2" xfId="0" applyFont="1" applyBorder="1" applyAlignment="1">
      <alignment vertical="center"/>
    </xf>
    <xf numFmtId="0" fontId="0" fillId="0" borderId="8" xfId="0" applyFont="1" applyBorder="1" applyAlignment="1">
      <alignment horizontal="center" vertical="center" wrapText="1"/>
    </xf>
    <xf numFmtId="0" fontId="0" fillId="0" borderId="8" xfId="0" applyFont="1" applyBorder="1" applyAlignment="1">
      <alignment horizontal="right" vertical="center" wrapText="1"/>
    </xf>
    <xf numFmtId="0" fontId="0" fillId="0" borderId="0" xfId="1" applyNumberFormat="1" applyFont="1" applyBorder="1" applyAlignment="1">
      <alignment horizontal="right" vertical="center" wrapText="1"/>
    </xf>
  </cellXfs>
  <cellStyles count="2">
    <cellStyle name="Normal" xfId="0" builtinId="0"/>
    <cellStyle name="Percent" xfId="1" builtinId="5"/>
  </cellStyles>
  <dxfs count="14">
    <dxf>
      <numFmt numFmtId="0" formatCode="General"/>
      <alignment horizontal="right" vertical="center" textRotation="0" wrapText="1" indent="0" justifyLastLine="0" shrinkToFit="0" readingOrder="0"/>
    </dxf>
    <dxf>
      <numFmt numFmtId="0" formatCode="General"/>
      <alignment horizontal="right" vertical="center" textRotation="0" wrapText="1" indent="0" justifyLastLine="0" shrinkToFit="0" readingOrder="0"/>
    </dxf>
    <dxf>
      <numFmt numFmtId="0" formatCode="General"/>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0" formatCode="dd/mmm/yy"/>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righ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[Day11-BusinessAnalysis.xlsx]12-Pivot_Analysis!PivotTable1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2537182852143"/>
          <c:y val="0.2572178477690289"/>
          <c:w val="0.60938626421697284"/>
          <c:h val="0.65853091280256637"/>
        </c:manualLayout>
      </c:layout>
      <c:barChart>
        <c:barDir val="col"/>
        <c:grouping val="clustered"/>
        <c:varyColors val="0"/>
        <c:ser>
          <c:idx val="0"/>
          <c:order val="0"/>
          <c:tx>
            <c:strRef>
              <c:f>'12-Pivot_Analysis'!$B$7</c:f>
              <c:strCache>
                <c:ptCount val="1"/>
                <c:pt idx="0">
                  <c:v>Sum of Revenue</c:v>
                </c:pt>
              </c:strCache>
            </c:strRef>
          </c:tx>
          <c:spPr>
            <a:solidFill>
              <a:schemeClr val="accent1"/>
            </a:solidFill>
            <a:ln>
              <a:noFill/>
            </a:ln>
            <a:effectLst/>
          </c:spPr>
          <c:invertIfNegative val="0"/>
          <c:cat>
            <c:strRef>
              <c:f>'12-Pivot_Analysis'!$A$8:$A$12</c:f>
              <c:strCache>
                <c:ptCount val="4"/>
                <c:pt idx="0">
                  <c:v>Kathmandu</c:v>
                </c:pt>
                <c:pt idx="1">
                  <c:v>Pokhara</c:v>
                </c:pt>
                <c:pt idx="2">
                  <c:v>Bharatpur</c:v>
                </c:pt>
                <c:pt idx="3">
                  <c:v>Lalitpur</c:v>
                </c:pt>
              </c:strCache>
            </c:strRef>
          </c:cat>
          <c:val>
            <c:numRef>
              <c:f>'12-Pivot_Analysis'!$B$8:$B$12</c:f>
              <c:numCache>
                <c:formatCode>General</c:formatCode>
                <c:ptCount val="4"/>
                <c:pt idx="0">
                  <c:v>988000</c:v>
                </c:pt>
                <c:pt idx="1">
                  <c:v>378000</c:v>
                </c:pt>
                <c:pt idx="2">
                  <c:v>173000</c:v>
                </c:pt>
                <c:pt idx="3">
                  <c:v>138000</c:v>
                </c:pt>
              </c:numCache>
            </c:numRef>
          </c:val>
          <c:extLst>
            <c:ext xmlns:c16="http://schemas.microsoft.com/office/drawing/2014/chart" uri="{C3380CC4-5D6E-409C-BE32-E72D297353CC}">
              <c16:uniqueId val="{00000000-1AB9-42B9-90EA-7B23E47CF3E0}"/>
            </c:ext>
          </c:extLst>
        </c:ser>
        <c:ser>
          <c:idx val="1"/>
          <c:order val="1"/>
          <c:tx>
            <c:strRef>
              <c:f>'12-Pivot_Analysis'!$C$7</c:f>
              <c:strCache>
                <c:ptCount val="1"/>
                <c:pt idx="0">
                  <c:v>Sum of Profit</c:v>
                </c:pt>
              </c:strCache>
            </c:strRef>
          </c:tx>
          <c:spPr>
            <a:solidFill>
              <a:schemeClr val="accent2"/>
            </a:solidFill>
            <a:ln>
              <a:noFill/>
            </a:ln>
            <a:effectLst/>
          </c:spPr>
          <c:invertIfNegative val="0"/>
          <c:cat>
            <c:strRef>
              <c:f>'12-Pivot_Analysis'!$A$8:$A$12</c:f>
              <c:strCache>
                <c:ptCount val="4"/>
                <c:pt idx="0">
                  <c:v>Kathmandu</c:v>
                </c:pt>
                <c:pt idx="1">
                  <c:v>Pokhara</c:v>
                </c:pt>
                <c:pt idx="2">
                  <c:v>Bharatpur</c:v>
                </c:pt>
                <c:pt idx="3">
                  <c:v>Lalitpur</c:v>
                </c:pt>
              </c:strCache>
            </c:strRef>
          </c:cat>
          <c:val>
            <c:numRef>
              <c:f>'12-Pivot_Analysis'!$C$8:$C$12</c:f>
              <c:numCache>
                <c:formatCode>General</c:formatCode>
                <c:ptCount val="4"/>
                <c:pt idx="0">
                  <c:v>198000</c:v>
                </c:pt>
                <c:pt idx="1">
                  <c:v>77200</c:v>
                </c:pt>
                <c:pt idx="2">
                  <c:v>49200</c:v>
                </c:pt>
                <c:pt idx="3">
                  <c:v>45200</c:v>
                </c:pt>
              </c:numCache>
            </c:numRef>
          </c:val>
          <c:extLst>
            <c:ext xmlns:c16="http://schemas.microsoft.com/office/drawing/2014/chart" uri="{C3380CC4-5D6E-409C-BE32-E72D297353CC}">
              <c16:uniqueId val="{00000001-1AB9-42B9-90EA-7B23E47CF3E0}"/>
            </c:ext>
          </c:extLst>
        </c:ser>
        <c:dLbls>
          <c:showLegendKey val="0"/>
          <c:showVal val="0"/>
          <c:showCatName val="0"/>
          <c:showSerName val="0"/>
          <c:showPercent val="0"/>
          <c:showBubbleSize val="0"/>
        </c:dLbls>
        <c:gapWidth val="219"/>
        <c:overlap val="-27"/>
        <c:axId val="736842735"/>
        <c:axId val="725714671"/>
      </c:barChart>
      <c:catAx>
        <c:axId val="73684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25714671"/>
        <c:crosses val="autoZero"/>
        <c:auto val="1"/>
        <c:lblAlgn val="ctr"/>
        <c:lblOffset val="100"/>
        <c:noMultiLvlLbl val="0"/>
      </c:catAx>
      <c:valAx>
        <c:axId val="725714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84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[Day11-BusinessAnalysis.xlsx]12-Pivot_Analysis!PivotTable5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'12-Pivot_Analysis'!$V$7</c:f>
              <c:strCache>
                <c:ptCount val="1"/>
                <c:pt idx="0">
                  <c:v>Sum of Revenue</c:v>
                </c:pt>
              </c:strCache>
            </c:strRef>
          </c:tx>
          <c:spPr>
            <a:solidFill>
              <a:schemeClr val="accent1"/>
            </a:solidFill>
            <a:ln>
              <a:noFill/>
            </a:ln>
            <a:effectLst/>
          </c:spPr>
          <c:invertIfNegative val="0"/>
          <c:cat>
            <c:multiLvlStrRef>
              <c:f>'12-Pivot_Analysis'!$U$8:$U$11</c:f>
              <c:multiLvlStrCache>
                <c:ptCount val="2"/>
                <c:lvl>
                  <c:pt idx="0">
                    <c:v>Mar</c:v>
                  </c:pt>
                  <c:pt idx="1">
                    <c:v>Apr</c:v>
                  </c:pt>
                </c:lvl>
                <c:lvl>
                  <c:pt idx="0">
                    <c:v>2026</c:v>
                  </c:pt>
                </c:lvl>
              </c:multiLvlStrCache>
            </c:multiLvlStrRef>
          </c:cat>
          <c:val>
            <c:numRef>
              <c:f>'12-Pivot_Analysis'!$V$8:$V$11</c:f>
              <c:numCache>
                <c:formatCode>General</c:formatCode>
                <c:ptCount val="2"/>
                <c:pt idx="0">
                  <c:v>1151000</c:v>
                </c:pt>
                <c:pt idx="1">
                  <c:v>526000</c:v>
                </c:pt>
              </c:numCache>
            </c:numRef>
          </c:val>
          <c:extLst>
            <c:ext xmlns:c16="http://schemas.microsoft.com/office/drawing/2014/chart" uri="{C3380CC4-5D6E-409C-BE32-E72D297353CC}">
              <c16:uniqueId val="{00000000-5D87-480A-94C8-FE809B5A2049}"/>
            </c:ext>
          </c:extLst>
        </c:ser>
        <c:ser>
          <c:idx val="1"/>
          <c:order val="1"/>
          <c:tx>
            <c:strRef>
              <c:f>'12-Pivot_Analysis'!$W$7</c:f>
              <c:strCache>
                <c:ptCount val="1"/>
                <c:pt idx="0">
                  <c:v>Sum of Profit</c:v>
                </c:pt>
              </c:strCache>
            </c:strRef>
          </c:tx>
          <c:spPr>
            <a:solidFill>
              <a:schemeClr val="accent2"/>
            </a:solidFill>
            <a:ln>
              <a:noFill/>
            </a:ln>
            <a:effectLst/>
          </c:spPr>
          <c:invertIfNegative val="0"/>
          <c:cat>
            <c:multiLvlStrRef>
              <c:f>'12-Pivot_Analysis'!$U$8:$U$11</c:f>
              <c:multiLvlStrCache>
                <c:ptCount val="2"/>
                <c:lvl>
                  <c:pt idx="0">
                    <c:v>Mar</c:v>
                  </c:pt>
                  <c:pt idx="1">
                    <c:v>Apr</c:v>
                  </c:pt>
                </c:lvl>
                <c:lvl>
                  <c:pt idx="0">
                    <c:v>2026</c:v>
                  </c:pt>
                </c:lvl>
              </c:multiLvlStrCache>
            </c:multiLvlStrRef>
          </c:cat>
          <c:val>
            <c:numRef>
              <c:f>'12-Pivot_Analysis'!$W$8:$W$11</c:f>
              <c:numCache>
                <c:formatCode>General</c:formatCode>
                <c:ptCount val="2"/>
                <c:pt idx="0">
                  <c:v>259200</c:v>
                </c:pt>
                <c:pt idx="1">
                  <c:v>110400</c:v>
                </c:pt>
              </c:numCache>
            </c:numRef>
          </c:val>
          <c:extLst>
            <c:ext xmlns:c16="http://schemas.microsoft.com/office/drawing/2014/chart" uri="{C3380CC4-5D6E-409C-BE32-E72D297353CC}">
              <c16:uniqueId val="{00000001-5D87-480A-94C8-FE809B5A2049}"/>
            </c:ext>
          </c:extLst>
        </c:ser>
        <c:dLbls>
          <c:showLegendKey val="0"/>
          <c:showVal val="0"/>
          <c:showCatName val="0"/>
          <c:showSerName val="0"/>
          <c:showPercent val="0"/>
          <c:showBubbleSize val="0"/>
        </c:dLbls>
        <c:gapWidth val="219"/>
        <c:overlap val="-27"/>
        <c:axId val="1051572752"/>
        <c:axId val="607967120"/>
      </c:barChart>
      <c:catAx>
        <c:axId val="105157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967120"/>
        <c:crosses val="autoZero"/>
        <c:auto val="1"/>
        <c:lblAlgn val="ctr"/>
        <c:lblOffset val="100"/>
        <c:noMultiLvlLbl val="0"/>
      </c:catAx>
      <c:valAx>
        <c:axId val="60796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57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[Day11-BusinessAnalysis.xlsx]12-Pivot_Analysis!PivotTable2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'12-Pivot_Analysis'!$G$7</c:f>
              <c:strCache>
                <c:ptCount val="1"/>
                <c:pt idx="0">
                  <c:v>Sum of Revenue</c:v>
                </c:pt>
              </c:strCache>
            </c:strRef>
          </c:tx>
          <c:spPr>
            <a:solidFill>
              <a:schemeClr val="accent1"/>
            </a:solidFill>
            <a:ln>
              <a:noFill/>
            </a:ln>
            <a:effectLst/>
          </c:spPr>
          <c:invertIfNegative val="0"/>
          <c:cat>
            <c:strRef>
              <c:f>'12-Pivot_Analysis'!$F$8:$F$13</c:f>
              <c:strCache>
                <c:ptCount val="5"/>
                <c:pt idx="0">
                  <c:v>Priya</c:v>
                </c:pt>
                <c:pt idx="1">
                  <c:v>Suman</c:v>
                </c:pt>
                <c:pt idx="2">
                  <c:v>Anisha</c:v>
                </c:pt>
                <c:pt idx="3">
                  <c:v>Riya</c:v>
                </c:pt>
                <c:pt idx="4">
                  <c:v>Rahul</c:v>
                </c:pt>
              </c:strCache>
            </c:strRef>
          </c:cat>
          <c:val>
            <c:numRef>
              <c:f>'12-Pivot_Analysis'!$G$8:$G$13</c:f>
              <c:numCache>
                <c:formatCode>General</c:formatCode>
                <c:ptCount val="5"/>
                <c:pt idx="0">
                  <c:v>640000</c:v>
                </c:pt>
                <c:pt idx="1">
                  <c:v>378000</c:v>
                </c:pt>
                <c:pt idx="2">
                  <c:v>348000</c:v>
                </c:pt>
                <c:pt idx="3">
                  <c:v>173000</c:v>
                </c:pt>
                <c:pt idx="4">
                  <c:v>138000</c:v>
                </c:pt>
              </c:numCache>
            </c:numRef>
          </c:val>
          <c:extLst>
            <c:ext xmlns:c16="http://schemas.microsoft.com/office/drawing/2014/chart" uri="{C3380CC4-5D6E-409C-BE32-E72D297353CC}">
              <c16:uniqueId val="{00000000-CD4C-4E23-A312-ACB6BA1D0860}"/>
            </c:ext>
          </c:extLst>
        </c:ser>
        <c:ser>
          <c:idx val="1"/>
          <c:order val="1"/>
          <c:tx>
            <c:strRef>
              <c:f>'12-Pivot_Analysis'!$H$7</c:f>
              <c:strCache>
                <c:ptCount val="1"/>
                <c:pt idx="0">
                  <c:v>Sum of Profit</c:v>
                </c:pt>
              </c:strCache>
            </c:strRef>
          </c:tx>
          <c:spPr>
            <a:solidFill>
              <a:schemeClr val="accent2"/>
            </a:solidFill>
            <a:ln>
              <a:noFill/>
            </a:ln>
            <a:effectLst/>
          </c:spPr>
          <c:invertIfNegative val="0"/>
          <c:cat>
            <c:strRef>
              <c:f>'12-Pivot_Analysis'!$F$8:$F$13</c:f>
              <c:strCache>
                <c:ptCount val="5"/>
                <c:pt idx="0">
                  <c:v>Priya</c:v>
                </c:pt>
                <c:pt idx="1">
                  <c:v>Suman</c:v>
                </c:pt>
                <c:pt idx="2">
                  <c:v>Anisha</c:v>
                </c:pt>
                <c:pt idx="3">
                  <c:v>Riya</c:v>
                </c:pt>
                <c:pt idx="4">
                  <c:v>Rahul</c:v>
                </c:pt>
              </c:strCache>
            </c:strRef>
          </c:cat>
          <c:val>
            <c:numRef>
              <c:f>'12-Pivot_Analysis'!$H$8:$H$13</c:f>
              <c:numCache>
                <c:formatCode>General</c:formatCode>
                <c:ptCount val="5"/>
                <c:pt idx="0">
                  <c:v>126000</c:v>
                </c:pt>
                <c:pt idx="1">
                  <c:v>77200</c:v>
                </c:pt>
                <c:pt idx="2">
                  <c:v>72000</c:v>
                </c:pt>
                <c:pt idx="3">
                  <c:v>49200</c:v>
                </c:pt>
                <c:pt idx="4">
                  <c:v>45200</c:v>
                </c:pt>
              </c:numCache>
            </c:numRef>
          </c:val>
          <c:extLst>
            <c:ext xmlns:c16="http://schemas.microsoft.com/office/drawing/2014/chart" uri="{C3380CC4-5D6E-409C-BE32-E72D297353CC}">
              <c16:uniqueId val="{00000001-CD4C-4E23-A312-ACB6BA1D0860}"/>
            </c:ext>
          </c:extLst>
        </c:ser>
        <c:ser>
          <c:idx val="2"/>
          <c:order val="2"/>
          <c:tx>
            <c:strRef>
              <c:f>'12-Pivot_Analysis'!$I$7</c:f>
              <c:strCache>
                <c:ptCount val="1"/>
                <c:pt idx="0">
                  <c:v>Sum of Units</c:v>
                </c:pt>
              </c:strCache>
            </c:strRef>
          </c:tx>
          <c:spPr>
            <a:solidFill>
              <a:schemeClr val="accent3"/>
            </a:solidFill>
            <a:ln>
              <a:noFill/>
            </a:ln>
            <a:effectLst/>
          </c:spPr>
          <c:invertIfNegative val="0"/>
          <c:cat>
            <c:strRef>
              <c:f>'12-Pivot_Analysis'!$F$8:$F$13</c:f>
              <c:strCache>
                <c:ptCount val="5"/>
                <c:pt idx="0">
                  <c:v>Priya</c:v>
                </c:pt>
                <c:pt idx="1">
                  <c:v>Suman</c:v>
                </c:pt>
                <c:pt idx="2">
                  <c:v>Anisha</c:v>
                </c:pt>
                <c:pt idx="3">
                  <c:v>Riya</c:v>
                </c:pt>
                <c:pt idx="4">
                  <c:v>Rahul</c:v>
                </c:pt>
              </c:strCache>
            </c:strRef>
          </c:cat>
          <c:val>
            <c:numRef>
              <c:f>'12-Pivot_Analysis'!$I$8:$I$13</c:f>
              <c:numCache>
                <c:formatCode>General</c:formatCode>
                <c:ptCount val="5"/>
                <c:pt idx="0">
                  <c:v>13</c:v>
                </c:pt>
                <c:pt idx="1">
                  <c:v>13</c:v>
                </c:pt>
                <c:pt idx="2">
                  <c:v>13</c:v>
                </c:pt>
                <c:pt idx="3">
                  <c:v>36</c:v>
                </c:pt>
                <c:pt idx="4">
                  <c:v>44</c:v>
                </c:pt>
              </c:numCache>
            </c:numRef>
          </c:val>
          <c:extLst>
            <c:ext xmlns:c16="http://schemas.microsoft.com/office/drawing/2014/chart" uri="{C3380CC4-5D6E-409C-BE32-E72D297353CC}">
              <c16:uniqueId val="{00000002-CD4C-4E23-A312-ACB6BA1D0860}"/>
            </c:ext>
          </c:extLst>
        </c:ser>
        <c:dLbls>
          <c:showLegendKey val="0"/>
          <c:showVal val="0"/>
          <c:showCatName val="0"/>
          <c:showSerName val="0"/>
          <c:showPercent val="0"/>
          <c:showBubbleSize val="0"/>
        </c:dLbls>
        <c:gapWidth val="219"/>
        <c:overlap val="-27"/>
        <c:axId val="1044912016"/>
        <c:axId val="607866800"/>
      </c:barChart>
      <c:catAx>
        <c:axId val="104491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866800"/>
        <c:crosses val="autoZero"/>
        <c:auto val="1"/>
        <c:lblAlgn val="ctr"/>
        <c:lblOffset val="100"/>
        <c:noMultiLvlLbl val="0"/>
      </c:catAx>
      <c:valAx>
        <c:axId val="607866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91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[Day11-BusinessAnalysis.xlsx]12-Pivot_Analysis!PivotTable4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'12-Pivot_Analysis'!$Q$7</c:f>
              <c:strCache>
                <c:ptCount val="1"/>
                <c:pt idx="0">
                  <c:v>Sum of Revenue</c:v>
                </c:pt>
              </c:strCache>
            </c:strRef>
          </c:tx>
          <c:spPr>
            <a:solidFill>
              <a:schemeClr val="accent1"/>
            </a:solidFill>
            <a:ln>
              <a:noFill/>
            </a:ln>
            <a:effectLst/>
          </c:spPr>
          <c:invertIfNegative val="0"/>
          <c:cat>
            <c:strRef>
              <c:f>'12-Pivot_Analysis'!$P$8:$P$13</c:f>
              <c:strCache>
                <c:ptCount val="5"/>
                <c:pt idx="0">
                  <c:v>Laptop</c:v>
                </c:pt>
                <c:pt idx="1">
                  <c:v>Monitor</c:v>
                </c:pt>
                <c:pt idx="2">
                  <c:v>Keyboard</c:v>
                </c:pt>
                <c:pt idx="3">
                  <c:v>Webcam</c:v>
                </c:pt>
                <c:pt idx="4">
                  <c:v>Mouse</c:v>
                </c:pt>
              </c:strCache>
            </c:strRef>
          </c:cat>
          <c:val>
            <c:numRef>
              <c:f>'12-Pivot_Analysis'!$Q$8:$Q$13</c:f>
              <c:numCache>
                <c:formatCode>General</c:formatCode>
                <c:ptCount val="5"/>
                <c:pt idx="0">
                  <c:v>960000</c:v>
                </c:pt>
                <c:pt idx="1">
                  <c:v>480000</c:v>
                </c:pt>
                <c:pt idx="2">
                  <c:v>84000</c:v>
                </c:pt>
                <c:pt idx="3">
                  <c:v>78000</c:v>
                </c:pt>
                <c:pt idx="4">
                  <c:v>75000</c:v>
                </c:pt>
              </c:numCache>
            </c:numRef>
          </c:val>
          <c:extLst>
            <c:ext xmlns:c16="http://schemas.microsoft.com/office/drawing/2014/chart" uri="{C3380CC4-5D6E-409C-BE32-E72D297353CC}">
              <c16:uniqueId val="{00000000-1886-479A-B2B4-A2B867C473E7}"/>
            </c:ext>
          </c:extLst>
        </c:ser>
        <c:ser>
          <c:idx val="1"/>
          <c:order val="1"/>
          <c:tx>
            <c:strRef>
              <c:f>'12-Pivot_Analysis'!$R$7</c:f>
              <c:strCache>
                <c:ptCount val="1"/>
                <c:pt idx="0">
                  <c:v>Sum of Profit</c:v>
                </c:pt>
              </c:strCache>
            </c:strRef>
          </c:tx>
          <c:spPr>
            <a:solidFill>
              <a:schemeClr val="accent2"/>
            </a:solidFill>
            <a:ln>
              <a:noFill/>
            </a:ln>
            <a:effectLst/>
          </c:spPr>
          <c:invertIfNegative val="0"/>
          <c:cat>
            <c:strRef>
              <c:f>'12-Pivot_Analysis'!$P$8:$P$13</c:f>
              <c:strCache>
                <c:ptCount val="5"/>
                <c:pt idx="0">
                  <c:v>Laptop</c:v>
                </c:pt>
                <c:pt idx="1">
                  <c:v>Monitor</c:v>
                </c:pt>
                <c:pt idx="2">
                  <c:v>Keyboard</c:v>
                </c:pt>
                <c:pt idx="3">
                  <c:v>Webcam</c:v>
                </c:pt>
                <c:pt idx="4">
                  <c:v>Mouse</c:v>
                </c:pt>
              </c:strCache>
            </c:strRef>
          </c:cat>
          <c:val>
            <c:numRef>
              <c:f>'12-Pivot_Analysis'!$R$8:$R$13</c:f>
              <c:numCache>
                <c:formatCode>General</c:formatCode>
                <c:ptCount val="5"/>
                <c:pt idx="0">
                  <c:v>168000</c:v>
                </c:pt>
                <c:pt idx="1">
                  <c:v>112000</c:v>
                </c:pt>
                <c:pt idx="2">
                  <c:v>33600</c:v>
                </c:pt>
                <c:pt idx="3">
                  <c:v>26000</c:v>
                </c:pt>
                <c:pt idx="4">
                  <c:v>30000</c:v>
                </c:pt>
              </c:numCache>
            </c:numRef>
          </c:val>
          <c:extLst>
            <c:ext xmlns:c16="http://schemas.microsoft.com/office/drawing/2014/chart" uri="{C3380CC4-5D6E-409C-BE32-E72D297353CC}">
              <c16:uniqueId val="{00000001-1886-479A-B2B4-A2B867C473E7}"/>
            </c:ext>
          </c:extLst>
        </c:ser>
        <c:ser>
          <c:idx val="2"/>
          <c:order val="2"/>
          <c:tx>
            <c:strRef>
              <c:f>'12-Pivot_Analysis'!$S$7</c:f>
              <c:strCache>
                <c:ptCount val="1"/>
                <c:pt idx="0">
                  <c:v>Sum of Units</c:v>
                </c:pt>
              </c:strCache>
            </c:strRef>
          </c:tx>
          <c:spPr>
            <a:solidFill>
              <a:schemeClr val="accent3"/>
            </a:solidFill>
            <a:ln>
              <a:noFill/>
            </a:ln>
            <a:effectLst/>
          </c:spPr>
          <c:invertIfNegative val="0"/>
          <c:cat>
            <c:strRef>
              <c:f>'12-Pivot_Analysis'!$P$8:$P$13</c:f>
              <c:strCache>
                <c:ptCount val="5"/>
                <c:pt idx="0">
                  <c:v>Laptop</c:v>
                </c:pt>
                <c:pt idx="1">
                  <c:v>Monitor</c:v>
                </c:pt>
                <c:pt idx="2">
                  <c:v>Keyboard</c:v>
                </c:pt>
                <c:pt idx="3">
                  <c:v>Webcam</c:v>
                </c:pt>
                <c:pt idx="4">
                  <c:v>Mouse</c:v>
                </c:pt>
              </c:strCache>
            </c:strRef>
          </c:cat>
          <c:val>
            <c:numRef>
              <c:f>'12-Pivot_Analysis'!$S$8:$S$13</c:f>
              <c:numCache>
                <c:formatCode>General</c:formatCode>
                <c:ptCount val="5"/>
                <c:pt idx="0">
                  <c:v>12</c:v>
                </c:pt>
                <c:pt idx="1">
                  <c:v>16</c:v>
                </c:pt>
                <c:pt idx="2">
                  <c:v>28</c:v>
                </c:pt>
                <c:pt idx="3">
                  <c:v>13</c:v>
                </c:pt>
                <c:pt idx="4">
                  <c:v>50</c:v>
                </c:pt>
              </c:numCache>
            </c:numRef>
          </c:val>
          <c:extLst>
            <c:ext xmlns:c16="http://schemas.microsoft.com/office/drawing/2014/chart" uri="{C3380CC4-5D6E-409C-BE32-E72D297353CC}">
              <c16:uniqueId val="{00000002-1886-479A-B2B4-A2B867C473E7}"/>
            </c:ext>
          </c:extLst>
        </c:ser>
        <c:dLbls>
          <c:showLegendKey val="0"/>
          <c:showVal val="0"/>
          <c:showCatName val="0"/>
          <c:showSerName val="0"/>
          <c:showPercent val="0"/>
          <c:showBubbleSize val="0"/>
        </c:dLbls>
        <c:gapWidth val="219"/>
        <c:overlap val="-27"/>
        <c:axId val="1144781792"/>
        <c:axId val="607877840"/>
      </c:barChart>
      <c:catAx>
        <c:axId val="114478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877840"/>
        <c:crosses val="autoZero"/>
        <c:auto val="1"/>
        <c:lblAlgn val="ctr"/>
        <c:lblOffset val="100"/>
        <c:noMultiLvlLbl val="0"/>
      </c:catAx>
      <c:valAx>
        <c:axId val="60787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78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[Day11-BusinessAnalysis.xlsx]12-Pivot_Analysis!PivotTable1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2537562506084"/>
          <c:y val="0.22018093915482015"/>
          <c:w val="0.60938626421697284"/>
          <c:h val="0.65853091280256637"/>
        </c:manualLayout>
      </c:layout>
      <c:barChart>
        <c:barDir val="col"/>
        <c:grouping val="clustered"/>
        <c:varyColors val="0"/>
        <c:ser>
          <c:idx val="0"/>
          <c:order val="0"/>
          <c:tx>
            <c:strRef>
              <c:f>'12-Pivot_Analysis'!$B$7</c:f>
              <c:strCache>
                <c:ptCount val="1"/>
                <c:pt idx="0">
                  <c:v>Sum of Revenue</c:v>
                </c:pt>
              </c:strCache>
            </c:strRef>
          </c:tx>
          <c:spPr>
            <a:solidFill>
              <a:schemeClr val="accent1"/>
            </a:solidFill>
            <a:ln>
              <a:noFill/>
            </a:ln>
            <a:effectLst/>
          </c:spPr>
          <c:invertIfNegative val="0"/>
          <c:cat>
            <c:strRef>
              <c:f>'12-Pivot_Analysis'!$A$8:$A$12</c:f>
              <c:strCache>
                <c:ptCount val="4"/>
                <c:pt idx="0">
                  <c:v>Kathmandu</c:v>
                </c:pt>
                <c:pt idx="1">
                  <c:v>Pokhara</c:v>
                </c:pt>
                <c:pt idx="2">
                  <c:v>Bharatpur</c:v>
                </c:pt>
                <c:pt idx="3">
                  <c:v>Lalitpur</c:v>
                </c:pt>
              </c:strCache>
            </c:strRef>
          </c:cat>
          <c:val>
            <c:numRef>
              <c:f>'12-Pivot_Analysis'!$B$8:$B$12</c:f>
              <c:numCache>
                <c:formatCode>General</c:formatCode>
                <c:ptCount val="4"/>
                <c:pt idx="0">
                  <c:v>988000</c:v>
                </c:pt>
                <c:pt idx="1">
                  <c:v>378000</c:v>
                </c:pt>
                <c:pt idx="2">
                  <c:v>173000</c:v>
                </c:pt>
                <c:pt idx="3">
                  <c:v>138000</c:v>
                </c:pt>
              </c:numCache>
            </c:numRef>
          </c:val>
          <c:extLst>
            <c:ext xmlns:c16="http://schemas.microsoft.com/office/drawing/2014/chart" uri="{C3380CC4-5D6E-409C-BE32-E72D297353CC}">
              <c16:uniqueId val="{00000000-4DD6-4F95-8032-BB1231FED3F7}"/>
            </c:ext>
          </c:extLst>
        </c:ser>
        <c:ser>
          <c:idx val="1"/>
          <c:order val="1"/>
          <c:tx>
            <c:strRef>
              <c:f>'12-Pivot_Analysis'!$C$7</c:f>
              <c:strCache>
                <c:ptCount val="1"/>
                <c:pt idx="0">
                  <c:v>Sum of Profit</c:v>
                </c:pt>
              </c:strCache>
            </c:strRef>
          </c:tx>
          <c:spPr>
            <a:solidFill>
              <a:schemeClr val="accent2"/>
            </a:solidFill>
            <a:ln>
              <a:noFill/>
            </a:ln>
            <a:effectLst/>
          </c:spPr>
          <c:invertIfNegative val="0"/>
          <c:cat>
            <c:strRef>
              <c:f>'12-Pivot_Analysis'!$A$8:$A$12</c:f>
              <c:strCache>
                <c:ptCount val="4"/>
                <c:pt idx="0">
                  <c:v>Kathmandu</c:v>
                </c:pt>
                <c:pt idx="1">
                  <c:v>Pokhara</c:v>
                </c:pt>
                <c:pt idx="2">
                  <c:v>Bharatpur</c:v>
                </c:pt>
                <c:pt idx="3">
                  <c:v>Lalitpur</c:v>
                </c:pt>
              </c:strCache>
            </c:strRef>
          </c:cat>
          <c:val>
            <c:numRef>
              <c:f>'12-Pivot_Analysis'!$C$8:$C$12</c:f>
              <c:numCache>
                <c:formatCode>General</c:formatCode>
                <c:ptCount val="4"/>
                <c:pt idx="0">
                  <c:v>198000</c:v>
                </c:pt>
                <c:pt idx="1">
                  <c:v>77200</c:v>
                </c:pt>
                <c:pt idx="2">
                  <c:v>49200</c:v>
                </c:pt>
                <c:pt idx="3">
                  <c:v>45200</c:v>
                </c:pt>
              </c:numCache>
            </c:numRef>
          </c:val>
          <c:extLst>
            <c:ext xmlns:c16="http://schemas.microsoft.com/office/drawing/2014/chart" uri="{C3380CC4-5D6E-409C-BE32-E72D297353CC}">
              <c16:uniqueId val="{00000001-4DD6-4F95-8032-BB1231FED3F7}"/>
            </c:ext>
          </c:extLst>
        </c:ser>
        <c:dLbls>
          <c:showLegendKey val="0"/>
          <c:showVal val="0"/>
          <c:showCatName val="0"/>
          <c:showSerName val="0"/>
          <c:showPercent val="0"/>
          <c:showBubbleSize val="0"/>
        </c:dLbls>
        <c:gapWidth val="219"/>
        <c:overlap val="-27"/>
        <c:axId val="736842735"/>
        <c:axId val="725714671"/>
      </c:barChart>
      <c:catAx>
        <c:axId val="73684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25714671"/>
        <c:crosses val="autoZero"/>
        <c:auto val="1"/>
        <c:lblAlgn val="ctr"/>
        <c:lblOffset val="100"/>
        <c:noMultiLvlLbl val="0"/>
      </c:catAx>
      <c:valAx>
        <c:axId val="725714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842735"/>
        <c:crosses val="autoZero"/>
        <c:crossBetween val="between"/>
      </c:valAx>
      <c:spPr>
        <a:noFill/>
        <a:ln>
          <a:noFill/>
        </a:ln>
        <a:effectLst/>
      </c:spPr>
    </c:plotArea>
    <c:legend>
      <c:legendPos val="r"/>
      <c:layout>
        <c:manualLayout>
          <c:xMode val="edge"/>
          <c:yMode val="edge"/>
          <c:x val="0.63374764306880749"/>
          <c:y val="2.4197006314804686E-2"/>
          <c:w val="0.30721509694661864"/>
          <c:h val="0.2585366804396975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[Day11-BusinessAnalysis.xlsx]12-Pivot_Analysis!PivotTable5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'12-Pivot_Analysis'!$V$7</c:f>
              <c:strCache>
                <c:ptCount val="1"/>
                <c:pt idx="0">
                  <c:v>Sum of Revenue</c:v>
                </c:pt>
              </c:strCache>
            </c:strRef>
          </c:tx>
          <c:spPr>
            <a:solidFill>
              <a:schemeClr val="accent1"/>
            </a:solidFill>
            <a:ln>
              <a:noFill/>
            </a:ln>
            <a:effectLst/>
          </c:spPr>
          <c:invertIfNegative val="0"/>
          <c:cat>
            <c:multiLvlStrRef>
              <c:f>'12-Pivot_Analysis'!$U$8:$U$11</c:f>
              <c:multiLvlStrCache>
                <c:ptCount val="2"/>
                <c:lvl>
                  <c:pt idx="0">
                    <c:v>Mar</c:v>
                  </c:pt>
                  <c:pt idx="1">
                    <c:v>Apr</c:v>
                  </c:pt>
                </c:lvl>
                <c:lvl>
                  <c:pt idx="0">
                    <c:v>2026</c:v>
                  </c:pt>
                </c:lvl>
              </c:multiLvlStrCache>
            </c:multiLvlStrRef>
          </c:cat>
          <c:val>
            <c:numRef>
              <c:f>'12-Pivot_Analysis'!$V$8:$V$11</c:f>
              <c:numCache>
                <c:formatCode>General</c:formatCode>
                <c:ptCount val="2"/>
                <c:pt idx="0">
                  <c:v>1151000</c:v>
                </c:pt>
                <c:pt idx="1">
                  <c:v>526000</c:v>
                </c:pt>
              </c:numCache>
            </c:numRef>
          </c:val>
          <c:extLst>
            <c:ext xmlns:c16="http://schemas.microsoft.com/office/drawing/2014/chart" uri="{C3380CC4-5D6E-409C-BE32-E72D297353CC}">
              <c16:uniqueId val="{00000000-FF05-48D9-A569-6E2F9F41159A}"/>
            </c:ext>
          </c:extLst>
        </c:ser>
        <c:ser>
          <c:idx val="1"/>
          <c:order val="1"/>
          <c:tx>
            <c:strRef>
              <c:f>'12-Pivot_Analysis'!$W$7</c:f>
              <c:strCache>
                <c:ptCount val="1"/>
                <c:pt idx="0">
                  <c:v>Sum of Profit</c:v>
                </c:pt>
              </c:strCache>
            </c:strRef>
          </c:tx>
          <c:spPr>
            <a:solidFill>
              <a:schemeClr val="accent2"/>
            </a:solidFill>
            <a:ln>
              <a:noFill/>
            </a:ln>
            <a:effectLst/>
          </c:spPr>
          <c:invertIfNegative val="0"/>
          <c:cat>
            <c:multiLvlStrRef>
              <c:f>'12-Pivot_Analysis'!$U$8:$U$11</c:f>
              <c:multiLvlStrCache>
                <c:ptCount val="2"/>
                <c:lvl>
                  <c:pt idx="0">
                    <c:v>Mar</c:v>
                  </c:pt>
                  <c:pt idx="1">
                    <c:v>Apr</c:v>
                  </c:pt>
                </c:lvl>
                <c:lvl>
                  <c:pt idx="0">
                    <c:v>2026</c:v>
                  </c:pt>
                </c:lvl>
              </c:multiLvlStrCache>
            </c:multiLvlStrRef>
          </c:cat>
          <c:val>
            <c:numRef>
              <c:f>'12-Pivot_Analysis'!$W$8:$W$11</c:f>
              <c:numCache>
                <c:formatCode>General</c:formatCode>
                <c:ptCount val="2"/>
                <c:pt idx="0">
                  <c:v>259200</c:v>
                </c:pt>
                <c:pt idx="1">
                  <c:v>110400</c:v>
                </c:pt>
              </c:numCache>
            </c:numRef>
          </c:val>
          <c:extLst>
            <c:ext xmlns:c16="http://schemas.microsoft.com/office/drawing/2014/chart" uri="{C3380CC4-5D6E-409C-BE32-E72D297353CC}">
              <c16:uniqueId val="{00000001-FF05-48D9-A569-6E2F9F41159A}"/>
            </c:ext>
          </c:extLst>
        </c:ser>
        <c:dLbls>
          <c:showLegendKey val="0"/>
          <c:showVal val="0"/>
          <c:showCatName val="0"/>
          <c:showSerName val="0"/>
          <c:showPercent val="0"/>
          <c:showBubbleSize val="0"/>
        </c:dLbls>
        <c:gapWidth val="219"/>
        <c:overlap val="-27"/>
        <c:axId val="1051572752"/>
        <c:axId val="607967120"/>
      </c:barChart>
      <c:catAx>
        <c:axId val="105157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967120"/>
        <c:crosses val="autoZero"/>
        <c:auto val="1"/>
        <c:lblAlgn val="ctr"/>
        <c:lblOffset val="100"/>
        <c:noMultiLvlLbl val="0"/>
      </c:catAx>
      <c:valAx>
        <c:axId val="60796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57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[Day11-BusinessAnalysis.xlsx]12-Pivot_Analysis!PivotTable4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35814273215849"/>
          <c:y val="6.9708491761723695E-2"/>
          <c:w val="0.54702528468801959"/>
          <c:h val="0.7832809396924244"/>
        </c:manualLayout>
      </c:layout>
      <c:barChart>
        <c:barDir val="bar"/>
        <c:grouping val="clustered"/>
        <c:varyColors val="0"/>
        <c:ser>
          <c:idx val="0"/>
          <c:order val="0"/>
          <c:tx>
            <c:strRef>
              <c:f>'12-Pivot_Analysis'!$Q$7</c:f>
              <c:strCache>
                <c:ptCount val="1"/>
                <c:pt idx="0">
                  <c:v>Sum of Revenue</c:v>
                </c:pt>
              </c:strCache>
            </c:strRef>
          </c:tx>
          <c:spPr>
            <a:solidFill>
              <a:schemeClr val="accent1"/>
            </a:solidFill>
            <a:ln>
              <a:noFill/>
            </a:ln>
            <a:effectLst/>
          </c:spPr>
          <c:invertIfNegative val="0"/>
          <c:cat>
            <c:strRef>
              <c:f>'12-Pivot_Analysis'!$P$8:$P$13</c:f>
              <c:strCache>
                <c:ptCount val="5"/>
                <c:pt idx="0">
                  <c:v>Laptop</c:v>
                </c:pt>
                <c:pt idx="1">
                  <c:v>Monitor</c:v>
                </c:pt>
                <c:pt idx="2">
                  <c:v>Keyboard</c:v>
                </c:pt>
                <c:pt idx="3">
                  <c:v>Webcam</c:v>
                </c:pt>
                <c:pt idx="4">
                  <c:v>Mouse</c:v>
                </c:pt>
              </c:strCache>
            </c:strRef>
          </c:cat>
          <c:val>
            <c:numRef>
              <c:f>'12-Pivot_Analysis'!$Q$8:$Q$13</c:f>
              <c:numCache>
                <c:formatCode>General</c:formatCode>
                <c:ptCount val="5"/>
                <c:pt idx="0">
                  <c:v>960000</c:v>
                </c:pt>
                <c:pt idx="1">
                  <c:v>480000</c:v>
                </c:pt>
                <c:pt idx="2">
                  <c:v>84000</c:v>
                </c:pt>
                <c:pt idx="3">
                  <c:v>78000</c:v>
                </c:pt>
                <c:pt idx="4">
                  <c:v>75000</c:v>
                </c:pt>
              </c:numCache>
            </c:numRef>
          </c:val>
          <c:extLst>
            <c:ext xmlns:c16="http://schemas.microsoft.com/office/drawing/2014/chart" uri="{C3380CC4-5D6E-409C-BE32-E72D297353CC}">
              <c16:uniqueId val="{00000000-F477-4EDE-98EE-67AC6E1342B5}"/>
            </c:ext>
          </c:extLst>
        </c:ser>
        <c:ser>
          <c:idx val="1"/>
          <c:order val="1"/>
          <c:tx>
            <c:strRef>
              <c:f>'12-Pivot_Analysis'!$R$7</c:f>
              <c:strCache>
                <c:ptCount val="1"/>
                <c:pt idx="0">
                  <c:v>Sum of Profit</c:v>
                </c:pt>
              </c:strCache>
            </c:strRef>
          </c:tx>
          <c:spPr>
            <a:solidFill>
              <a:schemeClr val="accent2"/>
            </a:solidFill>
            <a:ln>
              <a:noFill/>
            </a:ln>
            <a:effectLst/>
          </c:spPr>
          <c:invertIfNegative val="0"/>
          <c:cat>
            <c:strRef>
              <c:f>'12-Pivot_Analysis'!$P$8:$P$13</c:f>
              <c:strCache>
                <c:ptCount val="5"/>
                <c:pt idx="0">
                  <c:v>Laptop</c:v>
                </c:pt>
                <c:pt idx="1">
                  <c:v>Monitor</c:v>
                </c:pt>
                <c:pt idx="2">
                  <c:v>Keyboard</c:v>
                </c:pt>
                <c:pt idx="3">
                  <c:v>Webcam</c:v>
                </c:pt>
                <c:pt idx="4">
                  <c:v>Mouse</c:v>
                </c:pt>
              </c:strCache>
            </c:strRef>
          </c:cat>
          <c:val>
            <c:numRef>
              <c:f>'12-Pivot_Analysis'!$R$8:$R$13</c:f>
              <c:numCache>
                <c:formatCode>General</c:formatCode>
                <c:ptCount val="5"/>
                <c:pt idx="0">
                  <c:v>168000</c:v>
                </c:pt>
                <c:pt idx="1">
                  <c:v>112000</c:v>
                </c:pt>
                <c:pt idx="2">
                  <c:v>33600</c:v>
                </c:pt>
                <c:pt idx="3">
                  <c:v>26000</c:v>
                </c:pt>
                <c:pt idx="4">
                  <c:v>30000</c:v>
                </c:pt>
              </c:numCache>
            </c:numRef>
          </c:val>
          <c:extLst>
            <c:ext xmlns:c16="http://schemas.microsoft.com/office/drawing/2014/chart" uri="{C3380CC4-5D6E-409C-BE32-E72D297353CC}">
              <c16:uniqueId val="{00000001-F477-4EDE-98EE-67AC6E1342B5}"/>
            </c:ext>
          </c:extLst>
        </c:ser>
        <c:ser>
          <c:idx val="2"/>
          <c:order val="2"/>
          <c:tx>
            <c:strRef>
              <c:f>'12-Pivot_Analysis'!$S$7</c:f>
              <c:strCache>
                <c:ptCount val="1"/>
                <c:pt idx="0">
                  <c:v>Sum of Units</c:v>
                </c:pt>
              </c:strCache>
            </c:strRef>
          </c:tx>
          <c:spPr>
            <a:solidFill>
              <a:schemeClr val="accent3"/>
            </a:solidFill>
            <a:ln>
              <a:noFill/>
            </a:ln>
            <a:effectLst/>
          </c:spPr>
          <c:invertIfNegative val="0"/>
          <c:cat>
            <c:strRef>
              <c:f>'12-Pivot_Analysis'!$P$8:$P$13</c:f>
              <c:strCache>
                <c:ptCount val="5"/>
                <c:pt idx="0">
                  <c:v>Laptop</c:v>
                </c:pt>
                <c:pt idx="1">
                  <c:v>Monitor</c:v>
                </c:pt>
                <c:pt idx="2">
                  <c:v>Keyboard</c:v>
                </c:pt>
                <c:pt idx="3">
                  <c:v>Webcam</c:v>
                </c:pt>
                <c:pt idx="4">
                  <c:v>Mouse</c:v>
                </c:pt>
              </c:strCache>
            </c:strRef>
          </c:cat>
          <c:val>
            <c:numRef>
              <c:f>'12-Pivot_Analysis'!$S$8:$S$13</c:f>
              <c:numCache>
                <c:formatCode>General</c:formatCode>
                <c:ptCount val="5"/>
                <c:pt idx="0">
                  <c:v>12</c:v>
                </c:pt>
                <c:pt idx="1">
                  <c:v>16</c:v>
                </c:pt>
                <c:pt idx="2">
                  <c:v>28</c:v>
                </c:pt>
                <c:pt idx="3">
                  <c:v>13</c:v>
                </c:pt>
                <c:pt idx="4">
                  <c:v>50</c:v>
                </c:pt>
              </c:numCache>
            </c:numRef>
          </c:val>
          <c:extLst>
            <c:ext xmlns:c16="http://schemas.microsoft.com/office/drawing/2014/chart" uri="{C3380CC4-5D6E-409C-BE32-E72D297353CC}">
              <c16:uniqueId val="{00000002-F477-4EDE-98EE-67AC6E1342B5}"/>
            </c:ext>
          </c:extLst>
        </c:ser>
        <c:dLbls>
          <c:showLegendKey val="0"/>
          <c:showVal val="0"/>
          <c:showCatName val="0"/>
          <c:showSerName val="0"/>
          <c:showPercent val="0"/>
          <c:showBubbleSize val="0"/>
        </c:dLbls>
        <c:gapWidth val="219"/>
        <c:axId val="1144781792"/>
        <c:axId val="607877840"/>
      </c:barChart>
      <c:catAx>
        <c:axId val="1144781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877840"/>
        <c:crosses val="autoZero"/>
        <c:auto val="1"/>
        <c:lblAlgn val="ctr"/>
        <c:lblOffset val="100"/>
        <c:noMultiLvlLbl val="0"/>
      </c:catAx>
      <c:valAx>
        <c:axId val="607877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78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[Day11-BusinessAnalysis.xlsx]12-Pivot_Analysis!PivotTable2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29318907103968"/>
          <c:y val="6.9182424197704248E-2"/>
          <c:w val="0.50053506409391801"/>
          <c:h val="0.78491644872799915"/>
        </c:manualLayout>
      </c:layout>
      <c:barChart>
        <c:barDir val="bar"/>
        <c:grouping val="clustered"/>
        <c:varyColors val="0"/>
        <c:ser>
          <c:idx val="0"/>
          <c:order val="0"/>
          <c:tx>
            <c:strRef>
              <c:f>'12-Pivot_Analysis'!$G$7</c:f>
              <c:strCache>
                <c:ptCount val="1"/>
                <c:pt idx="0">
                  <c:v>Sum of Revenue</c:v>
                </c:pt>
              </c:strCache>
            </c:strRef>
          </c:tx>
          <c:spPr>
            <a:solidFill>
              <a:schemeClr val="accent1"/>
            </a:solidFill>
            <a:ln>
              <a:noFill/>
            </a:ln>
            <a:effectLst/>
          </c:spPr>
          <c:invertIfNegative val="0"/>
          <c:cat>
            <c:strRef>
              <c:f>'12-Pivot_Analysis'!$F$8:$F$13</c:f>
              <c:strCache>
                <c:ptCount val="5"/>
                <c:pt idx="0">
                  <c:v>Priya</c:v>
                </c:pt>
                <c:pt idx="1">
                  <c:v>Suman</c:v>
                </c:pt>
                <c:pt idx="2">
                  <c:v>Anisha</c:v>
                </c:pt>
                <c:pt idx="3">
                  <c:v>Riya</c:v>
                </c:pt>
                <c:pt idx="4">
                  <c:v>Rahul</c:v>
                </c:pt>
              </c:strCache>
            </c:strRef>
          </c:cat>
          <c:val>
            <c:numRef>
              <c:f>'12-Pivot_Analysis'!$G$8:$G$13</c:f>
              <c:numCache>
                <c:formatCode>General</c:formatCode>
                <c:ptCount val="5"/>
                <c:pt idx="0">
                  <c:v>640000</c:v>
                </c:pt>
                <c:pt idx="1">
                  <c:v>378000</c:v>
                </c:pt>
                <c:pt idx="2">
                  <c:v>348000</c:v>
                </c:pt>
                <c:pt idx="3">
                  <c:v>173000</c:v>
                </c:pt>
                <c:pt idx="4">
                  <c:v>138000</c:v>
                </c:pt>
              </c:numCache>
            </c:numRef>
          </c:val>
          <c:extLst>
            <c:ext xmlns:c16="http://schemas.microsoft.com/office/drawing/2014/chart" uri="{C3380CC4-5D6E-409C-BE32-E72D297353CC}">
              <c16:uniqueId val="{00000000-5F38-41BF-A6AF-25212B9181C4}"/>
            </c:ext>
          </c:extLst>
        </c:ser>
        <c:ser>
          <c:idx val="1"/>
          <c:order val="1"/>
          <c:tx>
            <c:strRef>
              <c:f>'12-Pivot_Analysis'!$H$7</c:f>
              <c:strCache>
                <c:ptCount val="1"/>
                <c:pt idx="0">
                  <c:v>Sum of Profit</c:v>
                </c:pt>
              </c:strCache>
            </c:strRef>
          </c:tx>
          <c:spPr>
            <a:solidFill>
              <a:schemeClr val="accent2"/>
            </a:solidFill>
            <a:ln>
              <a:noFill/>
            </a:ln>
            <a:effectLst/>
          </c:spPr>
          <c:invertIfNegative val="0"/>
          <c:cat>
            <c:strRef>
              <c:f>'12-Pivot_Analysis'!$F$8:$F$13</c:f>
              <c:strCache>
                <c:ptCount val="5"/>
                <c:pt idx="0">
                  <c:v>Priya</c:v>
                </c:pt>
                <c:pt idx="1">
                  <c:v>Suman</c:v>
                </c:pt>
                <c:pt idx="2">
                  <c:v>Anisha</c:v>
                </c:pt>
                <c:pt idx="3">
                  <c:v>Riya</c:v>
                </c:pt>
                <c:pt idx="4">
                  <c:v>Rahul</c:v>
                </c:pt>
              </c:strCache>
            </c:strRef>
          </c:cat>
          <c:val>
            <c:numRef>
              <c:f>'12-Pivot_Analysis'!$H$8:$H$13</c:f>
              <c:numCache>
                <c:formatCode>General</c:formatCode>
                <c:ptCount val="5"/>
                <c:pt idx="0">
                  <c:v>126000</c:v>
                </c:pt>
                <c:pt idx="1">
                  <c:v>77200</c:v>
                </c:pt>
                <c:pt idx="2">
                  <c:v>72000</c:v>
                </c:pt>
                <c:pt idx="3">
                  <c:v>49200</c:v>
                </c:pt>
                <c:pt idx="4">
                  <c:v>45200</c:v>
                </c:pt>
              </c:numCache>
            </c:numRef>
          </c:val>
          <c:extLst>
            <c:ext xmlns:c16="http://schemas.microsoft.com/office/drawing/2014/chart" uri="{C3380CC4-5D6E-409C-BE32-E72D297353CC}">
              <c16:uniqueId val="{00000001-5F38-41BF-A6AF-25212B9181C4}"/>
            </c:ext>
          </c:extLst>
        </c:ser>
        <c:ser>
          <c:idx val="2"/>
          <c:order val="2"/>
          <c:tx>
            <c:strRef>
              <c:f>'12-Pivot_Analysis'!$I$7</c:f>
              <c:strCache>
                <c:ptCount val="1"/>
                <c:pt idx="0">
                  <c:v>Sum of Units</c:v>
                </c:pt>
              </c:strCache>
            </c:strRef>
          </c:tx>
          <c:spPr>
            <a:solidFill>
              <a:schemeClr val="accent3"/>
            </a:solidFill>
            <a:ln>
              <a:noFill/>
            </a:ln>
            <a:effectLst/>
          </c:spPr>
          <c:invertIfNegative val="0"/>
          <c:cat>
            <c:strRef>
              <c:f>'12-Pivot_Analysis'!$F$8:$F$13</c:f>
              <c:strCache>
                <c:ptCount val="5"/>
                <c:pt idx="0">
                  <c:v>Priya</c:v>
                </c:pt>
                <c:pt idx="1">
                  <c:v>Suman</c:v>
                </c:pt>
                <c:pt idx="2">
                  <c:v>Anisha</c:v>
                </c:pt>
                <c:pt idx="3">
                  <c:v>Riya</c:v>
                </c:pt>
                <c:pt idx="4">
                  <c:v>Rahul</c:v>
                </c:pt>
              </c:strCache>
            </c:strRef>
          </c:cat>
          <c:val>
            <c:numRef>
              <c:f>'12-Pivot_Analysis'!$I$8:$I$13</c:f>
              <c:numCache>
                <c:formatCode>General</c:formatCode>
                <c:ptCount val="5"/>
                <c:pt idx="0">
                  <c:v>13</c:v>
                </c:pt>
                <c:pt idx="1">
                  <c:v>13</c:v>
                </c:pt>
                <c:pt idx="2">
                  <c:v>13</c:v>
                </c:pt>
                <c:pt idx="3">
                  <c:v>36</c:v>
                </c:pt>
                <c:pt idx="4">
                  <c:v>44</c:v>
                </c:pt>
              </c:numCache>
            </c:numRef>
          </c:val>
          <c:extLst>
            <c:ext xmlns:c16="http://schemas.microsoft.com/office/drawing/2014/chart" uri="{C3380CC4-5D6E-409C-BE32-E72D297353CC}">
              <c16:uniqueId val="{00000002-5F38-41BF-A6AF-25212B9181C4}"/>
            </c:ext>
          </c:extLst>
        </c:ser>
        <c:dLbls>
          <c:showLegendKey val="0"/>
          <c:showVal val="0"/>
          <c:showCatName val="0"/>
          <c:showSerName val="0"/>
          <c:showPercent val="0"/>
          <c:showBubbleSize val="0"/>
        </c:dLbls>
        <c:gapWidth val="219"/>
        <c:axId val="1044912016"/>
        <c:axId val="607866800"/>
      </c:barChart>
      <c:catAx>
        <c:axId val="1044912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866800"/>
        <c:crosses val="autoZero"/>
        <c:auto val="1"/>
        <c:lblAlgn val="ctr"/>
        <c:lblOffset val="100"/>
        <c:noMultiLvlLbl val="0"/>
      </c:catAx>
      <c:valAx>
        <c:axId val="607866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91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'15-MiniProject'!$W$2</c:f>
              <c:strCache>
                <c:ptCount val="1"/>
                <c:pt idx="0">
                  <c:v>March</c:v>
                </c:pt>
              </c:strCache>
            </c:strRef>
          </c:tx>
          <c:spPr>
            <a:solidFill>
              <a:schemeClr val="accent1"/>
            </a:solidFill>
            <a:ln>
              <a:noFill/>
            </a:ln>
            <a:effectLst/>
          </c:spPr>
          <c:invertIfNegative val="0"/>
          <c:cat>
            <c:strRef>
              <c:extLst>
                <c:ext xmlns:c15="http://schemas.microsoft.com/office/drawing/2012/chart" uri="{02D57815-91ED-43cb-92C2-25804820EDAC}">
                  <c15:fullRef>
                    <c15:sqref>'15-MiniProject'!$V$3:$V$7</c15:sqref>
                  </c15:fullRef>
                </c:ext>
              </c:extLst>
              <c:f>'15-MiniProject'!$V$3:$V$4</c:f>
              <c:strCache>
                <c:ptCount val="2"/>
                <c:pt idx="0">
                  <c:v>Revenue</c:v>
                </c:pt>
                <c:pt idx="1">
                  <c:v>Profit</c:v>
                </c:pt>
              </c:strCache>
            </c:strRef>
          </c:cat>
          <c:val>
            <c:numRef>
              <c:extLst>
                <c:ext xmlns:c15="http://schemas.microsoft.com/office/drawing/2012/chart" uri="{02D57815-91ED-43cb-92C2-25804820EDAC}">
                  <c15:fullRef>
                    <c15:sqref>'15-MiniProject'!$W$3:$W$7</c15:sqref>
                  </c15:fullRef>
                </c:ext>
              </c:extLst>
              <c:f>'15-MiniProject'!$W$3:$W$4</c:f>
              <c:numCache>
                <c:formatCode>General</c:formatCode>
                <c:ptCount val="2"/>
                <c:pt idx="0">
                  <c:v>1151000</c:v>
                </c:pt>
                <c:pt idx="1">
                  <c:v>259200</c:v>
                </c:pt>
              </c:numCache>
            </c:numRef>
          </c:val>
          <c:extLst>
            <c:ext xmlns:c16="http://schemas.microsoft.com/office/drawing/2014/chart" uri="{C3380CC4-5D6E-409C-BE32-E72D297353CC}">
              <c16:uniqueId val="{00000000-D8CB-41D6-B963-795E392D4601}"/>
            </c:ext>
          </c:extLst>
        </c:ser>
        <c:ser>
          <c:idx val="1"/>
          <c:order val="1"/>
          <c:tx>
            <c:strRef>
              <c:f>'15-MiniProject'!$X$2</c:f>
              <c:strCache>
                <c:ptCount val="1"/>
                <c:pt idx="0">
                  <c:v>April</c:v>
                </c:pt>
              </c:strCache>
            </c:strRef>
          </c:tx>
          <c:spPr>
            <a:solidFill>
              <a:schemeClr val="accent2"/>
            </a:solidFill>
            <a:ln>
              <a:noFill/>
            </a:ln>
            <a:effectLst/>
          </c:spPr>
          <c:invertIfNegative val="0"/>
          <c:cat>
            <c:strRef>
              <c:extLst>
                <c:ext xmlns:c15="http://schemas.microsoft.com/office/drawing/2012/chart" uri="{02D57815-91ED-43cb-92C2-25804820EDAC}">
                  <c15:fullRef>
                    <c15:sqref>'15-MiniProject'!$V$3:$V$7</c15:sqref>
                  </c15:fullRef>
                </c:ext>
              </c:extLst>
              <c:f>'15-MiniProject'!$V$3:$V$4</c:f>
              <c:strCache>
                <c:ptCount val="2"/>
                <c:pt idx="0">
                  <c:v>Revenue</c:v>
                </c:pt>
                <c:pt idx="1">
                  <c:v>Profit</c:v>
                </c:pt>
              </c:strCache>
            </c:strRef>
          </c:cat>
          <c:val>
            <c:numRef>
              <c:extLst>
                <c:ext xmlns:c15="http://schemas.microsoft.com/office/drawing/2012/chart" uri="{02D57815-91ED-43cb-92C2-25804820EDAC}">
                  <c15:fullRef>
                    <c15:sqref>'15-MiniProject'!$X$3:$X$7</c15:sqref>
                  </c15:fullRef>
                </c:ext>
              </c:extLst>
              <c:f>'15-MiniProject'!$X$3:$X$4</c:f>
              <c:numCache>
                <c:formatCode>General</c:formatCode>
                <c:ptCount val="2"/>
                <c:pt idx="0">
                  <c:v>526000</c:v>
                </c:pt>
                <c:pt idx="1">
                  <c:v>110400</c:v>
                </c:pt>
              </c:numCache>
            </c:numRef>
          </c:val>
          <c:extLst>
            <c:ext xmlns:c16="http://schemas.microsoft.com/office/drawing/2014/chart" uri="{C3380CC4-5D6E-409C-BE32-E72D297353CC}">
              <c16:uniqueId val="{00000001-D8CB-41D6-B963-795E392D4601}"/>
            </c:ext>
          </c:extLst>
        </c:ser>
        <c:dLbls>
          <c:showLegendKey val="0"/>
          <c:showVal val="0"/>
          <c:showCatName val="0"/>
          <c:showSerName val="0"/>
          <c:showPercent val="0"/>
          <c:showBubbleSize val="0"/>
        </c:dLbls>
        <c:gapWidth val="219"/>
        <c:overlap val="-27"/>
        <c:axId val="1716448096"/>
        <c:axId val="868494576"/>
      </c:barChart>
      <c:catAx>
        <c:axId val="171644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494576"/>
        <c:crosses val="autoZero"/>
        <c:auto val="1"/>
        <c:lblAlgn val="ctr"/>
        <c:lblOffset val="100"/>
        <c:noMultiLvlLbl val="0"/>
      </c:catAx>
      <c:valAx>
        <c:axId val="868494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448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'15-MiniProject'!$E$3</c:f>
              <c:strCache>
                <c:ptCount val="1"/>
                <c:pt idx="0">
                  <c:v>Kathmandu</c:v>
                </c:pt>
              </c:strCache>
            </c:strRef>
          </c:tx>
          <c:spPr>
            <a:ln w="28575" cap="rnd">
              <a:solidFill>
                <a:schemeClr val="accent1"/>
              </a:solidFill>
              <a:round/>
            </a:ln>
            <a:effectLst/>
          </c:spPr>
          <c:marker>
            <c:symbol val="none"/>
          </c:marker>
          <c:cat>
            <c:strRef>
              <c:extLst>
                <c:ext xmlns:c15="http://schemas.microsoft.com/office/drawing/2012/chart" uri="{02D57815-91ED-43cb-92C2-25804820EDAC}">
                  <c15:fullRef>
                    <c15:sqref>'15-MiniProject'!$F$2:$I$2</c15:sqref>
                  </c15:fullRef>
                </c:ext>
              </c:extLst>
              <c:f>'15-MiniProject'!$F$2:$H$2</c:f>
              <c:strCache>
                <c:ptCount val="3"/>
                <c:pt idx="0">
                  <c:v>March Revenue</c:v>
                </c:pt>
                <c:pt idx="1">
                  <c:v>April Revenue</c:v>
                </c:pt>
                <c:pt idx="2">
                  <c:v>Change</c:v>
                </c:pt>
              </c:strCache>
            </c:strRef>
          </c:cat>
          <c:val>
            <c:numRef>
              <c:extLst>
                <c:ext xmlns:c15="http://schemas.microsoft.com/office/drawing/2012/chart" uri="{02D57815-91ED-43cb-92C2-25804820EDAC}">
                  <c15:fullRef>
                    <c15:sqref>'15-MiniProject'!$F$3:$I$3</c15:sqref>
                  </c15:fullRef>
                </c:ext>
              </c:extLst>
              <c:f>'15-MiniProject'!$F$3:$H$3</c:f>
              <c:numCache>
                <c:formatCode>General</c:formatCode>
                <c:ptCount val="3"/>
                <c:pt idx="0">
                  <c:v>688000</c:v>
                </c:pt>
                <c:pt idx="1">
                  <c:v>300000</c:v>
                </c:pt>
                <c:pt idx="2">
                  <c:v>-388000</c:v>
                </c:pt>
              </c:numCache>
            </c:numRef>
          </c:val>
          <c:smooth val="0"/>
          <c:extLst>
            <c:ext xmlns:c16="http://schemas.microsoft.com/office/drawing/2014/chart" uri="{C3380CC4-5D6E-409C-BE32-E72D297353CC}">
              <c16:uniqueId val="{00000000-2105-4E4A-BEBD-3C0423588078}"/>
            </c:ext>
          </c:extLst>
        </c:ser>
        <c:ser>
          <c:idx val="1"/>
          <c:order val="1"/>
          <c:tx>
            <c:strRef>
              <c:f>'15-MiniProject'!$E$4</c:f>
              <c:strCache>
                <c:ptCount val="1"/>
                <c:pt idx="0">
                  <c:v>Lalitpur</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'15-MiniProject'!$F$2:$I$2</c15:sqref>
                  </c15:fullRef>
                </c:ext>
              </c:extLst>
              <c:f>'15-MiniProject'!$F$2:$H$2</c:f>
              <c:strCache>
                <c:ptCount val="3"/>
                <c:pt idx="0">
                  <c:v>March Revenue</c:v>
                </c:pt>
                <c:pt idx="1">
                  <c:v>April Revenue</c:v>
                </c:pt>
                <c:pt idx="2">
                  <c:v>Change</c:v>
                </c:pt>
              </c:strCache>
            </c:strRef>
          </c:cat>
          <c:val>
            <c:numRef>
              <c:extLst>
                <c:ext xmlns:c15="http://schemas.microsoft.com/office/drawing/2012/chart" uri="{02D57815-91ED-43cb-92C2-25804820EDAC}">
                  <c15:fullRef>
                    <c15:sqref>'15-MiniProject'!$F$4:$I$4</c15:sqref>
                  </c15:fullRef>
                </c:ext>
              </c:extLst>
              <c:f>'15-MiniProject'!$F$4:$H$4</c:f>
              <c:numCache>
                <c:formatCode>General</c:formatCode>
                <c:ptCount val="3"/>
                <c:pt idx="0">
                  <c:v>108000</c:v>
                </c:pt>
                <c:pt idx="1">
                  <c:v>30000</c:v>
                </c:pt>
                <c:pt idx="2">
                  <c:v>-78000</c:v>
                </c:pt>
              </c:numCache>
            </c:numRef>
          </c:val>
          <c:smooth val="0"/>
          <c:extLst>
            <c:ext xmlns:c16="http://schemas.microsoft.com/office/drawing/2014/chart" uri="{C3380CC4-5D6E-409C-BE32-E72D297353CC}">
              <c16:uniqueId val="{00000001-2105-4E4A-BEBD-3C0423588078}"/>
            </c:ext>
          </c:extLst>
        </c:ser>
        <c:ser>
          <c:idx val="2"/>
          <c:order val="2"/>
          <c:tx>
            <c:strRef>
              <c:f>'15-MiniProject'!$E$5</c:f>
              <c:strCache>
                <c:ptCount val="1"/>
                <c:pt idx="0">
                  <c:v>Pokhara</c:v>
                </c:pt>
              </c:strCache>
            </c:strRef>
          </c:tx>
          <c:spPr>
            <a:ln w="28575" cap="rnd">
              <a:solidFill>
                <a:schemeClr val="accent3"/>
              </a:solidFill>
              <a:round/>
            </a:ln>
            <a:effectLst/>
          </c:spPr>
          <c:marker>
            <c:symbol val="none"/>
          </c:marker>
          <c:cat>
            <c:strRef>
              <c:extLst>
                <c:ext xmlns:c15="http://schemas.microsoft.com/office/drawing/2012/chart" uri="{02D57815-91ED-43cb-92C2-25804820EDAC}">
                  <c15:fullRef>
                    <c15:sqref>'15-MiniProject'!$F$2:$I$2</c15:sqref>
                  </c15:fullRef>
                </c:ext>
              </c:extLst>
              <c:f>'15-MiniProject'!$F$2:$H$2</c:f>
              <c:strCache>
                <c:ptCount val="3"/>
                <c:pt idx="0">
                  <c:v>March Revenue</c:v>
                </c:pt>
                <c:pt idx="1">
                  <c:v>April Revenue</c:v>
                </c:pt>
                <c:pt idx="2">
                  <c:v>Change</c:v>
                </c:pt>
              </c:strCache>
            </c:strRef>
          </c:cat>
          <c:val>
            <c:numRef>
              <c:extLst>
                <c:ext xmlns:c15="http://schemas.microsoft.com/office/drawing/2012/chart" uri="{02D57815-91ED-43cb-92C2-25804820EDAC}">
                  <c15:fullRef>
                    <c15:sqref>'15-MiniProject'!$F$5:$I$5</c15:sqref>
                  </c15:fullRef>
                </c:ext>
              </c:extLst>
              <c:f>'15-MiniProject'!$F$5:$H$5</c:f>
              <c:numCache>
                <c:formatCode>General</c:formatCode>
                <c:ptCount val="3"/>
                <c:pt idx="0">
                  <c:v>218000</c:v>
                </c:pt>
                <c:pt idx="1">
                  <c:v>160000</c:v>
                </c:pt>
                <c:pt idx="2">
                  <c:v>-58000</c:v>
                </c:pt>
              </c:numCache>
            </c:numRef>
          </c:val>
          <c:smooth val="0"/>
          <c:extLst>
            <c:ext xmlns:c16="http://schemas.microsoft.com/office/drawing/2014/chart" uri="{C3380CC4-5D6E-409C-BE32-E72D297353CC}">
              <c16:uniqueId val="{00000002-2105-4E4A-BEBD-3C0423588078}"/>
            </c:ext>
          </c:extLst>
        </c:ser>
        <c:ser>
          <c:idx val="3"/>
          <c:order val="3"/>
          <c:tx>
            <c:strRef>
              <c:f>'15-MiniProject'!$E$6</c:f>
              <c:strCache>
                <c:ptCount val="1"/>
                <c:pt idx="0">
                  <c:v>Bharatpur</c:v>
                </c:pt>
              </c:strCache>
            </c:strRef>
          </c:tx>
          <c:spPr>
            <a:ln w="28575" cap="rnd">
              <a:solidFill>
                <a:schemeClr val="accent4"/>
              </a:solidFill>
              <a:round/>
            </a:ln>
            <a:effectLst/>
          </c:spPr>
          <c:marker>
            <c:symbol val="none"/>
          </c:marker>
          <c:cat>
            <c:strRef>
              <c:extLst>
                <c:ext xmlns:c15="http://schemas.microsoft.com/office/drawing/2012/chart" uri="{02D57815-91ED-43cb-92C2-25804820EDAC}">
                  <c15:fullRef>
                    <c15:sqref>'15-MiniProject'!$F$2:$I$2</c15:sqref>
                  </c15:fullRef>
                </c:ext>
              </c:extLst>
              <c:f>'15-MiniProject'!$F$2:$H$2</c:f>
              <c:strCache>
                <c:ptCount val="3"/>
                <c:pt idx="0">
                  <c:v>March Revenue</c:v>
                </c:pt>
                <c:pt idx="1">
                  <c:v>April Revenue</c:v>
                </c:pt>
                <c:pt idx="2">
                  <c:v>Change</c:v>
                </c:pt>
              </c:strCache>
            </c:strRef>
          </c:cat>
          <c:val>
            <c:numRef>
              <c:extLst>
                <c:ext xmlns:c15="http://schemas.microsoft.com/office/drawing/2012/chart" uri="{02D57815-91ED-43cb-92C2-25804820EDAC}">
                  <c15:fullRef>
                    <c15:sqref>'15-MiniProject'!$F$6:$I$6</c15:sqref>
                  </c15:fullRef>
                </c:ext>
              </c:extLst>
              <c:f>'15-MiniProject'!$F$6:$H$6</c:f>
              <c:numCache>
                <c:formatCode>General</c:formatCode>
                <c:ptCount val="3"/>
                <c:pt idx="0">
                  <c:v>137000</c:v>
                </c:pt>
                <c:pt idx="1">
                  <c:v>36000</c:v>
                </c:pt>
                <c:pt idx="2">
                  <c:v>-101000</c:v>
                </c:pt>
              </c:numCache>
            </c:numRef>
          </c:val>
          <c:smooth val="0"/>
          <c:extLst>
            <c:ext xmlns:c16="http://schemas.microsoft.com/office/drawing/2014/chart" uri="{C3380CC4-5D6E-409C-BE32-E72D297353CC}">
              <c16:uniqueId val="{00000003-2105-4E4A-BEBD-3C0423588078}"/>
            </c:ext>
          </c:extLst>
        </c:ser>
        <c:dLbls>
          <c:showLegendKey val="0"/>
          <c:showVal val="0"/>
          <c:showCatName val="0"/>
          <c:showSerName val="0"/>
          <c:showPercent val="0"/>
          <c:showBubbleSize val="0"/>
        </c:dLbls>
        <c:smooth val="0"/>
        <c:axId val="1716434640"/>
        <c:axId val="1715539216"/>
      </c:lineChart>
      <c:catAx>
        <c:axId val="171643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539216"/>
        <c:crosses val="autoZero"/>
        <c:auto val="1"/>
        <c:lblAlgn val="ctr"/>
        <c:lblOffset val="100"/>
        <c:noMultiLvlLbl val="0"/>
      </c:catAx>
      <c:valAx>
        <c:axId val="171553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434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Salesperson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'15-MiniProject'!$K$3</c:f>
              <c:strCache>
                <c:ptCount val="1"/>
                <c:pt idx="0">
                  <c:v>Anisha</c:v>
                </c:pt>
              </c:strCache>
            </c:strRef>
          </c:tx>
          <c:spPr>
            <a:ln w="28575" cap="rnd">
              <a:solidFill>
                <a:schemeClr val="accent1"/>
              </a:solidFill>
              <a:round/>
            </a:ln>
            <a:effectLst/>
          </c:spPr>
          <c:marker>
            <c:symbol val="none"/>
          </c:marker>
          <c:cat>
            <c:strRef>
              <c:extLst>
                <c:ext xmlns:c15="http://schemas.microsoft.com/office/drawing/2012/chart" uri="{02D57815-91ED-43cb-92C2-25804820EDAC}">
                  <c15:fullRef>
                    <c15:sqref>'15-MiniProject'!$L$1:$O$2</c15:sqref>
                  </c15:fullRef>
                </c:ext>
              </c:extLst>
              <c:f>'15-MiniProject'!$L$1:$O$2</c:f>
              <c:strCache>
                <c:ptCount val="3"/>
                <c:pt idx="0">
                  <c:v>March Revenue</c:v>
                </c:pt>
                <c:pt idx="1">
                  <c:v>April Revenue</c:v>
                </c:pt>
                <c:pt idx="2">
                  <c:v>Change</c:v>
                </c:pt>
              </c:strCache>
            </c:strRef>
          </c:cat>
          <c:val>
            <c:numRef>
              <c:extLst>
                <c:ext xmlns:c15="http://schemas.microsoft.com/office/drawing/2012/chart" uri="{02D57815-91ED-43cb-92C2-25804820EDAC}">
                  <c15:fullRef>
                    <c15:sqref>'15-MiniProject'!$L$3:$O$3</c15:sqref>
                  </c15:fullRef>
                </c:ext>
              </c:extLst>
              <c:f>'15-MiniProject'!$L$3:$N$3</c:f>
              <c:numCache>
                <c:formatCode>General</c:formatCode>
                <c:ptCount val="3"/>
                <c:pt idx="0">
                  <c:v>288000</c:v>
                </c:pt>
                <c:pt idx="1">
                  <c:v>60000</c:v>
                </c:pt>
                <c:pt idx="2">
                  <c:v>-228000</c:v>
                </c:pt>
              </c:numCache>
            </c:numRef>
          </c:val>
          <c:smooth val="0"/>
          <c:extLst>
            <c:ext xmlns:c16="http://schemas.microsoft.com/office/drawing/2014/chart" uri="{C3380CC4-5D6E-409C-BE32-E72D297353CC}">
              <c16:uniqueId val="{00000000-A2E4-4AAF-BBBD-3244C6CD646C}"/>
            </c:ext>
          </c:extLst>
        </c:ser>
        <c:ser>
          <c:idx val="1"/>
          <c:order val="1"/>
          <c:tx>
            <c:strRef>
              <c:f>'15-MiniProject'!$K$4</c:f>
              <c:strCache>
                <c:ptCount val="1"/>
                <c:pt idx="0">
                  <c:v>Rahul</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'15-MiniProject'!$L$1:$O$2</c15:sqref>
                  </c15:fullRef>
                </c:ext>
              </c:extLst>
              <c:f>'15-MiniProject'!$L$1:$O$2</c:f>
              <c:strCache>
                <c:ptCount val="3"/>
                <c:pt idx="0">
                  <c:v>March Revenue</c:v>
                </c:pt>
                <c:pt idx="1">
                  <c:v>April Revenue</c:v>
                </c:pt>
                <c:pt idx="2">
                  <c:v>Change</c:v>
                </c:pt>
              </c:strCache>
            </c:strRef>
          </c:cat>
          <c:val>
            <c:numRef>
              <c:extLst>
                <c:ext xmlns:c15="http://schemas.microsoft.com/office/drawing/2012/chart" uri="{02D57815-91ED-43cb-92C2-25804820EDAC}">
                  <c15:fullRef>
                    <c15:sqref>'15-MiniProject'!$L$4:$O$4</c15:sqref>
                  </c15:fullRef>
                </c:ext>
              </c:extLst>
              <c:f>'15-MiniProject'!$L$4:$N$4</c:f>
              <c:numCache>
                <c:formatCode>General</c:formatCode>
                <c:ptCount val="3"/>
                <c:pt idx="0">
                  <c:v>108000</c:v>
                </c:pt>
                <c:pt idx="1">
                  <c:v>30000</c:v>
                </c:pt>
                <c:pt idx="2">
                  <c:v>-78000</c:v>
                </c:pt>
              </c:numCache>
            </c:numRef>
          </c:val>
          <c:smooth val="0"/>
          <c:extLst>
            <c:ext xmlns:c16="http://schemas.microsoft.com/office/drawing/2014/chart" uri="{C3380CC4-5D6E-409C-BE32-E72D297353CC}">
              <c16:uniqueId val="{00000001-A2E4-4AAF-BBBD-3244C6CD646C}"/>
            </c:ext>
          </c:extLst>
        </c:ser>
        <c:ser>
          <c:idx val="2"/>
          <c:order val="2"/>
          <c:tx>
            <c:strRef>
              <c:f>'15-MiniProject'!$K$5</c:f>
              <c:strCache>
                <c:ptCount val="1"/>
                <c:pt idx="0">
                  <c:v>Priya</c:v>
                </c:pt>
              </c:strCache>
            </c:strRef>
          </c:tx>
          <c:spPr>
            <a:ln w="28575" cap="rnd">
              <a:solidFill>
                <a:schemeClr val="accent3"/>
              </a:solidFill>
              <a:round/>
            </a:ln>
            <a:effectLst/>
          </c:spPr>
          <c:marker>
            <c:symbol val="none"/>
          </c:marker>
          <c:cat>
            <c:strRef>
              <c:extLst>
                <c:ext xmlns:c15="http://schemas.microsoft.com/office/drawing/2012/chart" uri="{02D57815-91ED-43cb-92C2-25804820EDAC}">
                  <c15:fullRef>
                    <c15:sqref>'15-MiniProject'!$L$1:$O$2</c15:sqref>
                  </c15:fullRef>
                </c:ext>
              </c:extLst>
              <c:f>'15-MiniProject'!$L$1:$O$2</c:f>
              <c:strCache>
                <c:ptCount val="3"/>
                <c:pt idx="0">
                  <c:v>March Revenue</c:v>
                </c:pt>
                <c:pt idx="1">
                  <c:v>April Revenue</c:v>
                </c:pt>
                <c:pt idx="2">
                  <c:v>Change</c:v>
                </c:pt>
              </c:strCache>
            </c:strRef>
          </c:cat>
          <c:val>
            <c:numRef>
              <c:extLst>
                <c:ext xmlns:c15="http://schemas.microsoft.com/office/drawing/2012/chart" uri="{02D57815-91ED-43cb-92C2-25804820EDAC}">
                  <c15:fullRef>
                    <c15:sqref>'15-MiniProject'!$L$5:$O$5</c15:sqref>
                  </c15:fullRef>
                </c:ext>
              </c:extLst>
              <c:f>'15-MiniProject'!$L$5:$N$5</c:f>
              <c:numCache>
                <c:formatCode>General</c:formatCode>
                <c:ptCount val="3"/>
                <c:pt idx="0">
                  <c:v>400000</c:v>
                </c:pt>
                <c:pt idx="1">
                  <c:v>240000</c:v>
                </c:pt>
                <c:pt idx="2">
                  <c:v>-160000</c:v>
                </c:pt>
              </c:numCache>
            </c:numRef>
          </c:val>
          <c:smooth val="0"/>
          <c:extLst>
            <c:ext xmlns:c16="http://schemas.microsoft.com/office/drawing/2014/chart" uri="{C3380CC4-5D6E-409C-BE32-E72D297353CC}">
              <c16:uniqueId val="{00000002-A2E4-4AAF-BBBD-3244C6CD646C}"/>
            </c:ext>
          </c:extLst>
        </c:ser>
        <c:ser>
          <c:idx val="3"/>
          <c:order val="3"/>
          <c:tx>
            <c:strRef>
              <c:f>'15-MiniProject'!$K$6</c:f>
              <c:strCache>
                <c:ptCount val="1"/>
                <c:pt idx="0">
                  <c:v>Suman</c:v>
                </c:pt>
              </c:strCache>
            </c:strRef>
          </c:tx>
          <c:spPr>
            <a:ln w="28575" cap="rnd">
              <a:solidFill>
                <a:schemeClr val="accent4"/>
              </a:solidFill>
              <a:round/>
            </a:ln>
            <a:effectLst/>
          </c:spPr>
          <c:marker>
            <c:symbol val="none"/>
          </c:marker>
          <c:cat>
            <c:strRef>
              <c:extLst>
                <c:ext xmlns:c15="http://schemas.microsoft.com/office/drawing/2012/chart" uri="{02D57815-91ED-43cb-92C2-25804820EDAC}">
                  <c15:fullRef>
                    <c15:sqref>'15-MiniProject'!$L$1:$O$2</c15:sqref>
                  </c15:fullRef>
                </c:ext>
              </c:extLst>
              <c:f>'15-MiniProject'!$L$1:$O$2</c:f>
              <c:strCache>
                <c:ptCount val="3"/>
                <c:pt idx="0">
                  <c:v>March Revenue</c:v>
                </c:pt>
                <c:pt idx="1">
                  <c:v>April Revenue</c:v>
                </c:pt>
                <c:pt idx="2">
                  <c:v>Change</c:v>
                </c:pt>
              </c:strCache>
            </c:strRef>
          </c:cat>
          <c:val>
            <c:numRef>
              <c:extLst>
                <c:ext xmlns:c15="http://schemas.microsoft.com/office/drawing/2012/chart" uri="{02D57815-91ED-43cb-92C2-25804820EDAC}">
                  <c15:fullRef>
                    <c15:sqref>'15-MiniProject'!$L$6:$O$6</c15:sqref>
                  </c15:fullRef>
                </c:ext>
              </c:extLst>
              <c:f>'15-MiniProject'!$L$6:$N$6</c:f>
              <c:numCache>
                <c:formatCode>General</c:formatCode>
                <c:ptCount val="3"/>
                <c:pt idx="0">
                  <c:v>218000</c:v>
                </c:pt>
                <c:pt idx="1">
                  <c:v>160000</c:v>
                </c:pt>
                <c:pt idx="2">
                  <c:v>-58000</c:v>
                </c:pt>
              </c:numCache>
            </c:numRef>
          </c:val>
          <c:smooth val="0"/>
          <c:extLst>
            <c:ext xmlns:c16="http://schemas.microsoft.com/office/drawing/2014/chart" uri="{C3380CC4-5D6E-409C-BE32-E72D297353CC}">
              <c16:uniqueId val="{00000003-A2E4-4AAF-BBBD-3244C6CD646C}"/>
            </c:ext>
          </c:extLst>
        </c:ser>
        <c:ser>
          <c:idx val="4"/>
          <c:order val="4"/>
          <c:tx>
            <c:strRef>
              <c:f>'15-MiniProject'!$K$7</c:f>
              <c:strCache>
                <c:ptCount val="1"/>
                <c:pt idx="0">
                  <c:v>Riya</c:v>
                </c:pt>
              </c:strCache>
            </c:strRef>
          </c:tx>
          <c:spPr>
            <a:ln w="28575" cap="rnd">
              <a:solidFill>
                <a:schemeClr val="accent5"/>
              </a:solidFill>
              <a:round/>
            </a:ln>
            <a:effectLst/>
          </c:spPr>
          <c:marker>
            <c:symbol val="none"/>
          </c:marker>
          <c:cat>
            <c:strRef>
              <c:extLst>
                <c:ext xmlns:c15="http://schemas.microsoft.com/office/drawing/2012/chart" uri="{02D57815-91ED-43cb-92C2-25804820EDAC}">
                  <c15:fullRef>
                    <c15:sqref>'15-MiniProject'!$L$1:$O$2</c15:sqref>
                  </c15:fullRef>
                </c:ext>
              </c:extLst>
              <c:f>'15-MiniProject'!$L$1:$O$2</c:f>
              <c:strCache>
                <c:ptCount val="3"/>
                <c:pt idx="0">
                  <c:v>March Revenue</c:v>
                </c:pt>
                <c:pt idx="1">
                  <c:v>April Revenue</c:v>
                </c:pt>
                <c:pt idx="2">
                  <c:v>Change</c:v>
                </c:pt>
              </c:strCache>
            </c:strRef>
          </c:cat>
          <c:val>
            <c:numRef>
              <c:extLst>
                <c:ext xmlns:c15="http://schemas.microsoft.com/office/drawing/2012/chart" uri="{02D57815-91ED-43cb-92C2-25804820EDAC}">
                  <c15:fullRef>
                    <c15:sqref>'15-MiniProject'!$L$7:$O$7</c15:sqref>
                  </c15:fullRef>
                </c:ext>
              </c:extLst>
              <c:f>'15-MiniProject'!$L$7:$N$7</c:f>
              <c:numCache>
                <c:formatCode>General</c:formatCode>
                <c:ptCount val="3"/>
                <c:pt idx="0">
                  <c:v>137000</c:v>
                </c:pt>
                <c:pt idx="1">
                  <c:v>36000</c:v>
                </c:pt>
                <c:pt idx="2">
                  <c:v>-101000</c:v>
                </c:pt>
              </c:numCache>
            </c:numRef>
          </c:val>
          <c:smooth val="0"/>
          <c:extLst>
            <c:ext xmlns:c16="http://schemas.microsoft.com/office/drawing/2014/chart" uri="{C3380CC4-5D6E-409C-BE32-E72D297353CC}">
              <c16:uniqueId val="{00000004-A2E4-4AAF-BBBD-3244C6CD646C}"/>
            </c:ext>
          </c:extLst>
        </c:ser>
        <c:dLbls>
          <c:showLegendKey val="0"/>
          <c:showVal val="0"/>
          <c:showCatName val="0"/>
          <c:showSerName val="0"/>
          <c:showPercent val="0"/>
          <c:showBubbleSize val="0"/>
        </c:dLbls>
        <c:smooth val="0"/>
        <c:axId val="1716451808"/>
        <c:axId val="1715565616"/>
      </c:lineChart>
      <c:catAx>
        <c:axId val="171645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565616"/>
        <c:crosses val="autoZero"/>
        <c:auto val="1"/>
        <c:lblAlgn val="ctr"/>
        <c:lblOffset val="100"/>
        <c:noMultiLvlLbl val="0"/>
      </c:catAx>
      <c:valAx>
        <c:axId val="171556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451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'15-MiniProject'!$Q$3</c:f>
              <c:strCache>
                <c:ptCount val="1"/>
                <c:pt idx="0">
                  <c:v>Laptop</c:v>
                </c:pt>
              </c:strCache>
            </c:strRef>
          </c:tx>
          <c:spPr>
            <a:ln w="28575" cap="rnd">
              <a:solidFill>
                <a:schemeClr val="accent1"/>
              </a:solidFill>
              <a:round/>
            </a:ln>
            <a:effectLst/>
          </c:spPr>
          <c:marker>
            <c:symbol val="none"/>
          </c:marker>
          <c:cat>
            <c:strRef>
              <c:f>'15-MiniProject'!$R$1:$T$2</c:f>
              <c:strCache>
                <c:ptCount val="3"/>
                <c:pt idx="0">
                  <c:v>March Revenue</c:v>
                </c:pt>
                <c:pt idx="1">
                  <c:v>April Revenue</c:v>
                </c:pt>
                <c:pt idx="2">
                  <c:v>Change</c:v>
                </c:pt>
              </c:strCache>
            </c:strRef>
          </c:cat>
          <c:val>
            <c:numRef>
              <c:f>'15-MiniProject'!$R$3:$T$3</c:f>
              <c:numCache>
                <c:formatCode>General</c:formatCode>
                <c:ptCount val="3"/>
                <c:pt idx="0">
                  <c:v>560000</c:v>
                </c:pt>
                <c:pt idx="1">
                  <c:v>400000</c:v>
                </c:pt>
                <c:pt idx="2">
                  <c:v>-160000</c:v>
                </c:pt>
              </c:numCache>
            </c:numRef>
          </c:val>
          <c:smooth val="0"/>
          <c:extLst>
            <c:ext xmlns:c16="http://schemas.microsoft.com/office/drawing/2014/chart" uri="{C3380CC4-5D6E-409C-BE32-E72D297353CC}">
              <c16:uniqueId val="{00000000-5CF8-40A7-9124-3BFC7512DB57}"/>
            </c:ext>
          </c:extLst>
        </c:ser>
        <c:ser>
          <c:idx val="1"/>
          <c:order val="1"/>
          <c:tx>
            <c:strRef>
              <c:f>'15-MiniProject'!$Q$4</c:f>
              <c:strCache>
                <c:ptCount val="1"/>
                <c:pt idx="0">
                  <c:v>Mouse</c:v>
                </c:pt>
              </c:strCache>
            </c:strRef>
          </c:tx>
          <c:spPr>
            <a:ln w="28575" cap="rnd">
              <a:solidFill>
                <a:schemeClr val="accent2"/>
              </a:solidFill>
              <a:round/>
            </a:ln>
            <a:effectLst/>
          </c:spPr>
          <c:marker>
            <c:symbol val="none"/>
          </c:marker>
          <c:cat>
            <c:strRef>
              <c:f>'15-MiniProject'!$R$1:$T$2</c:f>
              <c:strCache>
                <c:ptCount val="3"/>
                <c:pt idx="0">
                  <c:v>March Revenue</c:v>
                </c:pt>
                <c:pt idx="1">
                  <c:v>April Revenue</c:v>
                </c:pt>
                <c:pt idx="2">
                  <c:v>Change</c:v>
                </c:pt>
              </c:strCache>
            </c:strRef>
          </c:cat>
          <c:val>
            <c:numRef>
              <c:f>'15-MiniProject'!$R$4:$T$4</c:f>
              <c:numCache>
                <c:formatCode>General</c:formatCode>
                <c:ptCount val="3"/>
                <c:pt idx="0">
                  <c:v>45000</c:v>
                </c:pt>
                <c:pt idx="1">
                  <c:v>30000</c:v>
                </c:pt>
                <c:pt idx="2">
                  <c:v>-15000</c:v>
                </c:pt>
              </c:numCache>
            </c:numRef>
          </c:val>
          <c:smooth val="0"/>
          <c:extLst>
            <c:ext xmlns:c16="http://schemas.microsoft.com/office/drawing/2014/chart" uri="{C3380CC4-5D6E-409C-BE32-E72D297353CC}">
              <c16:uniqueId val="{00000001-5CF8-40A7-9124-3BFC7512DB57}"/>
            </c:ext>
          </c:extLst>
        </c:ser>
        <c:ser>
          <c:idx val="2"/>
          <c:order val="2"/>
          <c:tx>
            <c:strRef>
              <c:f>'15-MiniProject'!$Q$5</c:f>
              <c:strCache>
                <c:ptCount val="1"/>
                <c:pt idx="0">
                  <c:v>Monitor</c:v>
                </c:pt>
              </c:strCache>
            </c:strRef>
          </c:tx>
          <c:spPr>
            <a:ln w="28575" cap="rnd">
              <a:solidFill>
                <a:schemeClr val="accent3"/>
              </a:solidFill>
              <a:round/>
            </a:ln>
            <a:effectLst/>
          </c:spPr>
          <c:marker>
            <c:symbol val="none"/>
          </c:marker>
          <c:cat>
            <c:strRef>
              <c:f>'15-MiniProject'!$R$1:$T$2</c:f>
              <c:strCache>
                <c:ptCount val="3"/>
                <c:pt idx="0">
                  <c:v>March Revenue</c:v>
                </c:pt>
                <c:pt idx="1">
                  <c:v>April Revenue</c:v>
                </c:pt>
                <c:pt idx="2">
                  <c:v>Change</c:v>
                </c:pt>
              </c:strCache>
            </c:strRef>
          </c:cat>
          <c:val>
            <c:numRef>
              <c:f>'15-MiniProject'!$R$5:$T$5</c:f>
              <c:numCache>
                <c:formatCode>General</c:formatCode>
                <c:ptCount val="3"/>
                <c:pt idx="0">
                  <c:v>420000</c:v>
                </c:pt>
                <c:pt idx="1">
                  <c:v>60000</c:v>
                </c:pt>
                <c:pt idx="2">
                  <c:v>-360000</c:v>
                </c:pt>
              </c:numCache>
            </c:numRef>
          </c:val>
          <c:smooth val="0"/>
          <c:extLst>
            <c:ext xmlns:c16="http://schemas.microsoft.com/office/drawing/2014/chart" uri="{C3380CC4-5D6E-409C-BE32-E72D297353CC}">
              <c16:uniqueId val="{00000002-5CF8-40A7-9124-3BFC7512DB57}"/>
            </c:ext>
          </c:extLst>
        </c:ser>
        <c:ser>
          <c:idx val="3"/>
          <c:order val="3"/>
          <c:tx>
            <c:strRef>
              <c:f>'15-MiniProject'!$Q$6</c:f>
              <c:strCache>
                <c:ptCount val="1"/>
                <c:pt idx="0">
                  <c:v>Keyboard</c:v>
                </c:pt>
              </c:strCache>
            </c:strRef>
          </c:tx>
          <c:spPr>
            <a:ln w="28575" cap="rnd">
              <a:solidFill>
                <a:schemeClr val="accent4"/>
              </a:solidFill>
              <a:round/>
            </a:ln>
            <a:effectLst/>
          </c:spPr>
          <c:marker>
            <c:symbol val="none"/>
          </c:marker>
          <c:cat>
            <c:strRef>
              <c:f>'15-MiniProject'!$R$1:$T$2</c:f>
              <c:strCache>
                <c:ptCount val="3"/>
                <c:pt idx="0">
                  <c:v>March Revenue</c:v>
                </c:pt>
                <c:pt idx="1">
                  <c:v>April Revenue</c:v>
                </c:pt>
                <c:pt idx="2">
                  <c:v>Change</c:v>
                </c:pt>
              </c:strCache>
            </c:strRef>
          </c:cat>
          <c:val>
            <c:numRef>
              <c:f>'15-MiniProject'!$R$6:$T$6</c:f>
              <c:numCache>
                <c:formatCode>General</c:formatCode>
                <c:ptCount val="3"/>
                <c:pt idx="0">
                  <c:v>48000</c:v>
                </c:pt>
                <c:pt idx="1">
                  <c:v>36000</c:v>
                </c:pt>
                <c:pt idx="2">
                  <c:v>-12000</c:v>
                </c:pt>
              </c:numCache>
            </c:numRef>
          </c:val>
          <c:smooth val="0"/>
          <c:extLst>
            <c:ext xmlns:c16="http://schemas.microsoft.com/office/drawing/2014/chart" uri="{C3380CC4-5D6E-409C-BE32-E72D297353CC}">
              <c16:uniqueId val="{00000003-5CF8-40A7-9124-3BFC7512DB57}"/>
            </c:ext>
          </c:extLst>
        </c:ser>
        <c:ser>
          <c:idx val="4"/>
          <c:order val="4"/>
          <c:tx>
            <c:strRef>
              <c:f>'15-MiniProject'!$Q$7</c:f>
              <c:strCache>
                <c:ptCount val="1"/>
                <c:pt idx="0">
                  <c:v>Webcam</c:v>
                </c:pt>
              </c:strCache>
            </c:strRef>
          </c:tx>
          <c:spPr>
            <a:ln w="28575" cap="rnd">
              <a:solidFill>
                <a:schemeClr val="accent5"/>
              </a:solidFill>
              <a:round/>
            </a:ln>
            <a:effectLst/>
          </c:spPr>
          <c:marker>
            <c:symbol val="none"/>
          </c:marker>
          <c:cat>
            <c:strRef>
              <c:f>'15-MiniProject'!$R$1:$T$2</c:f>
              <c:strCache>
                <c:ptCount val="3"/>
                <c:pt idx="0">
                  <c:v>March Revenue</c:v>
                </c:pt>
                <c:pt idx="1">
                  <c:v>April Revenue</c:v>
                </c:pt>
                <c:pt idx="2">
                  <c:v>Change</c:v>
                </c:pt>
              </c:strCache>
            </c:strRef>
          </c:cat>
          <c:val>
            <c:numRef>
              <c:f>'15-MiniProject'!$R$7:$T$7</c:f>
              <c:numCache>
                <c:formatCode>General</c:formatCode>
                <c:ptCount val="3"/>
                <c:pt idx="0">
                  <c:v>78000</c:v>
                </c:pt>
                <c:pt idx="1">
                  <c:v>0</c:v>
                </c:pt>
                <c:pt idx="2">
                  <c:v>-78000</c:v>
                </c:pt>
              </c:numCache>
            </c:numRef>
          </c:val>
          <c:smooth val="0"/>
          <c:extLst>
            <c:ext xmlns:c16="http://schemas.microsoft.com/office/drawing/2014/chart" uri="{C3380CC4-5D6E-409C-BE32-E72D297353CC}">
              <c16:uniqueId val="{00000004-5CF8-40A7-9124-3BFC7512DB57}"/>
            </c:ext>
          </c:extLst>
        </c:ser>
        <c:dLbls>
          <c:showLegendKey val="0"/>
          <c:showVal val="0"/>
          <c:showCatName val="0"/>
          <c:showSerName val="0"/>
          <c:showPercent val="0"/>
          <c:showBubbleSize val="0"/>
        </c:dLbls>
        <c:smooth val="0"/>
        <c:axId val="1721183152"/>
        <c:axId val="1715560336"/>
      </c:lineChart>
      <c:catAx>
        <c:axId val="172118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560336"/>
        <c:crosses val="autoZero"/>
        <c:auto val="1"/>
        <c:lblAlgn val="ctr"/>
        <c:lblOffset val="100"/>
        <c:noMultiLvlLbl val="0"/>
      </c:catAx>
      <c:valAx>
        <c:axId val="171556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183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'15-MiniProject'!$W$2</c:f>
              <c:strCache>
                <c:ptCount val="1"/>
                <c:pt idx="0">
                  <c:v>March</c:v>
                </c:pt>
              </c:strCache>
            </c:strRef>
          </c:tx>
          <c:spPr>
            <a:solidFill>
              <a:schemeClr val="accent1"/>
            </a:solidFill>
            <a:ln>
              <a:noFill/>
            </a:ln>
            <a:effectLst/>
          </c:spPr>
          <c:invertIfNegative val="0"/>
          <c:cat>
            <c:strRef>
              <c:extLst>
                <c:ext xmlns:c15="http://schemas.microsoft.com/office/drawing/2012/chart" uri="{02D57815-91ED-43cb-92C2-25804820EDAC}">
                  <c15:fullRef>
                    <c15:sqref>'15-MiniProject'!$V$3:$V$7</c15:sqref>
                  </c15:fullRef>
                </c:ext>
              </c:extLst>
              <c:f>'15-MiniProject'!$V$3:$V$4</c:f>
              <c:strCache>
                <c:ptCount val="2"/>
                <c:pt idx="0">
                  <c:v>Revenue</c:v>
                </c:pt>
                <c:pt idx="1">
                  <c:v>Profit</c:v>
                </c:pt>
              </c:strCache>
            </c:strRef>
          </c:cat>
          <c:val>
            <c:numRef>
              <c:extLst>
                <c:ext xmlns:c15="http://schemas.microsoft.com/office/drawing/2012/chart" uri="{02D57815-91ED-43cb-92C2-25804820EDAC}">
                  <c15:fullRef>
                    <c15:sqref>'15-MiniProject'!$W$3:$W$7</c15:sqref>
                  </c15:fullRef>
                </c:ext>
              </c:extLst>
              <c:f>'15-MiniProject'!$W$3:$W$4</c:f>
              <c:numCache>
                <c:formatCode>General</c:formatCode>
                <c:ptCount val="2"/>
                <c:pt idx="0">
                  <c:v>1151000</c:v>
                </c:pt>
                <c:pt idx="1">
                  <c:v>259200</c:v>
                </c:pt>
              </c:numCache>
            </c:numRef>
          </c:val>
          <c:extLst>
            <c:ext xmlns:c16="http://schemas.microsoft.com/office/drawing/2014/chart" uri="{C3380CC4-5D6E-409C-BE32-E72D297353CC}">
              <c16:uniqueId val="{00000000-BB10-4711-B065-4E2AA4F6DE20}"/>
            </c:ext>
          </c:extLst>
        </c:ser>
        <c:ser>
          <c:idx val="1"/>
          <c:order val="1"/>
          <c:tx>
            <c:strRef>
              <c:f>'15-MiniProject'!$X$2</c:f>
              <c:strCache>
                <c:ptCount val="1"/>
                <c:pt idx="0">
                  <c:v>April</c:v>
                </c:pt>
              </c:strCache>
            </c:strRef>
          </c:tx>
          <c:spPr>
            <a:solidFill>
              <a:schemeClr val="accent2"/>
            </a:solidFill>
            <a:ln>
              <a:noFill/>
            </a:ln>
            <a:effectLst/>
          </c:spPr>
          <c:invertIfNegative val="0"/>
          <c:cat>
            <c:strRef>
              <c:extLst>
                <c:ext xmlns:c15="http://schemas.microsoft.com/office/drawing/2012/chart" uri="{02D57815-91ED-43cb-92C2-25804820EDAC}">
                  <c15:fullRef>
                    <c15:sqref>'15-MiniProject'!$V$3:$V$7</c15:sqref>
                  </c15:fullRef>
                </c:ext>
              </c:extLst>
              <c:f>'15-MiniProject'!$V$3:$V$4</c:f>
              <c:strCache>
                <c:ptCount val="2"/>
                <c:pt idx="0">
                  <c:v>Revenue</c:v>
                </c:pt>
                <c:pt idx="1">
                  <c:v>Profit</c:v>
                </c:pt>
              </c:strCache>
            </c:strRef>
          </c:cat>
          <c:val>
            <c:numRef>
              <c:extLst>
                <c:ext xmlns:c15="http://schemas.microsoft.com/office/drawing/2012/chart" uri="{02D57815-91ED-43cb-92C2-25804820EDAC}">
                  <c15:fullRef>
                    <c15:sqref>'15-MiniProject'!$X$3:$X$7</c15:sqref>
                  </c15:fullRef>
                </c:ext>
              </c:extLst>
              <c:f>'15-MiniProject'!$X$3:$X$4</c:f>
              <c:numCache>
                <c:formatCode>General</c:formatCode>
                <c:ptCount val="2"/>
                <c:pt idx="0">
                  <c:v>526000</c:v>
                </c:pt>
                <c:pt idx="1">
                  <c:v>110400</c:v>
                </c:pt>
              </c:numCache>
            </c:numRef>
          </c:val>
          <c:extLst>
            <c:ext xmlns:c16="http://schemas.microsoft.com/office/drawing/2014/chart" uri="{C3380CC4-5D6E-409C-BE32-E72D297353CC}">
              <c16:uniqueId val="{00000001-BB10-4711-B065-4E2AA4F6DE20}"/>
            </c:ext>
          </c:extLst>
        </c:ser>
        <c:dLbls>
          <c:showLegendKey val="0"/>
          <c:showVal val="0"/>
          <c:showCatName val="0"/>
          <c:showSerName val="0"/>
          <c:showPercent val="0"/>
          <c:showBubbleSize val="0"/>
        </c:dLbls>
        <c:gapWidth val="219"/>
        <c:overlap val="-27"/>
        <c:axId val="1716448096"/>
        <c:axId val="868494576"/>
      </c:barChart>
      <c:catAx>
        <c:axId val="171644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494576"/>
        <c:crosses val="autoZero"/>
        <c:auto val="1"/>
        <c:lblAlgn val="ctr"/>
        <c:lblOffset val="100"/>
        <c:noMultiLvlLbl val="0"/>
      </c:catAx>
      <c:valAx>
        <c:axId val="868494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448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53340</xdr:colOff>
      <xdr:row>13</xdr:row>
      <xdr:rowOff>30480</xdr:rowOff>
    </xdr:from>
    <xdr:to>
      <xdr:col>4</xdr:col>
      <xdr:colOff>0</xdr:colOff>
      <xdr:row>25</xdr:row>
      <xdr:rowOff>99060</xdr:rowOff>
    </xdr:to>
    <xdr:graphicFrame macro="">
      <xdr:nvGraphicFramePr>
        <xdr:cNvPr id="2" name="Chart 1">
          <a:extLst>
            <a:ext uri="{FF2B5EF4-FFF2-40B4-BE49-F238E27FC236}">
              <a16:creationId xmlns:a16="http://schemas.microsoft.com/office/drawing/2014/main" id="{3230ED2A-9406-6A50-44FD-8A6F640E8F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xdr:colOff>
      <xdr:row>0</xdr:row>
      <xdr:rowOff>167640</xdr:rowOff>
    </xdr:from>
    <xdr:to>
      <xdr:col>4</xdr:col>
      <xdr:colOff>319216</xdr:colOff>
      <xdr:row>4</xdr:row>
      <xdr:rowOff>83819</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91B4AEB1-7F64-C720-CA4F-EC26E87262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 y="167640"/>
              <a:ext cx="3866841" cy="6575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22860</xdr:colOff>
      <xdr:row>1</xdr:row>
      <xdr:rowOff>12563</xdr:rowOff>
    </xdr:from>
    <xdr:to>
      <xdr:col>10</xdr:col>
      <xdr:colOff>718340</xdr:colOff>
      <xdr:row>4</xdr:row>
      <xdr:rowOff>111622</xdr:rowOff>
    </xdr:to>
    <mc:AlternateContent xmlns:mc="http://schemas.openxmlformats.org/markup-compatibility/2006" xmlns:a14="http://schemas.microsoft.com/office/drawing/2010/main">
      <mc:Choice Requires="a14">
        <xdr:graphicFrame macro="">
          <xdr:nvGraphicFramePr>
            <xdr:cNvPr id="4" name="Salesperson">
              <a:extLst>
                <a:ext uri="{FF2B5EF4-FFF2-40B4-BE49-F238E27FC236}">
                  <a16:creationId xmlns:a16="http://schemas.microsoft.com/office/drawing/2014/main" id="{B6FA6CC4-C2D5-C943-FDCA-0C899F49AFFD}"/>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5150914" y="197914"/>
              <a:ext cx="4062696" cy="6551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25537</xdr:colOff>
      <xdr:row>1</xdr:row>
      <xdr:rowOff>10298</xdr:rowOff>
    </xdr:from>
    <xdr:to>
      <xdr:col>15</xdr:col>
      <xdr:colOff>123567</xdr:colOff>
      <xdr:row>4</xdr:row>
      <xdr:rowOff>94117</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BF0ED1B7-8CC6-5FF4-C853-34809D0C7F9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549375" y="195649"/>
              <a:ext cx="2394327" cy="6398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494270</xdr:colOff>
      <xdr:row>14</xdr:row>
      <xdr:rowOff>136953</xdr:rowOff>
    </xdr:from>
    <xdr:to>
      <xdr:col>24</xdr:col>
      <xdr:colOff>133864</xdr:colOff>
      <xdr:row>29</xdr:row>
      <xdr:rowOff>99883</xdr:rowOff>
    </xdr:to>
    <xdr:graphicFrame macro="">
      <xdr:nvGraphicFramePr>
        <xdr:cNvPr id="6" name="Chart 5">
          <a:extLst>
            <a:ext uri="{FF2B5EF4-FFF2-40B4-BE49-F238E27FC236}">
              <a16:creationId xmlns:a16="http://schemas.microsoft.com/office/drawing/2014/main" id="{9AE72CD9-164E-D31D-1E20-9A2B50E1B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556055</xdr:colOff>
      <xdr:row>14</xdr:row>
      <xdr:rowOff>3089</xdr:rowOff>
    </xdr:from>
    <xdr:to>
      <xdr:col>9</xdr:col>
      <xdr:colOff>10297</xdr:colOff>
      <xdr:row>25</xdr:row>
      <xdr:rowOff>164757</xdr:rowOff>
    </xdr:to>
    <xdr:graphicFrame macro="">
      <xdr:nvGraphicFramePr>
        <xdr:cNvPr id="7" name="Chart 6">
          <a:extLst>
            <a:ext uri="{FF2B5EF4-FFF2-40B4-BE49-F238E27FC236}">
              <a16:creationId xmlns:a16="http://schemas.microsoft.com/office/drawing/2014/main" id="{64707883-92D5-F98F-653D-57EF5AB62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164756</xdr:colOff>
      <xdr:row>14</xdr:row>
      <xdr:rowOff>95764</xdr:rowOff>
    </xdr:from>
    <xdr:to>
      <xdr:col>18</xdr:col>
      <xdr:colOff>411892</xdr:colOff>
      <xdr:row>29</xdr:row>
      <xdr:rowOff>58694</xdr:rowOff>
    </xdr:to>
    <xdr:graphicFrame macro="">
      <xdr:nvGraphicFramePr>
        <xdr:cNvPr id="8" name="Chart 7">
          <a:extLst>
            <a:ext uri="{FF2B5EF4-FFF2-40B4-BE49-F238E27FC236}">
              <a16:creationId xmlns:a16="http://schemas.microsoft.com/office/drawing/2014/main" id="{465DE693-B904-F41D-D34C-21A5C93D88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738187</xdr:colOff>
      <xdr:row>8</xdr:row>
      <xdr:rowOff>1</xdr:rowOff>
    </xdr:from>
    <xdr:to>
      <xdr:col>8</xdr:col>
      <xdr:colOff>7621</xdr:colOff>
      <xdr:row>16</xdr:row>
      <xdr:rowOff>154781</xdr:rowOff>
    </xdr:to>
    <xdr:graphicFrame macro="">
      <xdr:nvGraphicFramePr>
        <xdr:cNvPr id="2" name="Chart 1">
          <a:extLst>
            <a:ext uri="{FF2B5EF4-FFF2-40B4-BE49-F238E27FC236}">
              <a16:creationId xmlns:a16="http://schemas.microsoft.com/office/drawing/2014/main" id="{7EE59C40-C6BB-4CA4-BF33-E3E46300E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15241</xdr:colOff>
      <xdr:row>8</xdr:row>
      <xdr:rowOff>0</xdr:rowOff>
    </xdr:from>
    <xdr:to>
      <xdr:col>12</xdr:col>
      <xdr:colOff>369095</xdr:colOff>
      <xdr:row>16</xdr:row>
      <xdr:rowOff>160020</xdr:rowOff>
    </xdr:to>
    <xdr:graphicFrame macro="">
      <xdr:nvGraphicFramePr>
        <xdr:cNvPr id="3" name="Chart 2">
          <a:extLst>
            <a:ext uri="{FF2B5EF4-FFF2-40B4-BE49-F238E27FC236}">
              <a16:creationId xmlns:a16="http://schemas.microsoft.com/office/drawing/2014/main" id="{AAFAD8B7-5900-4FAF-8295-48099984AF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797719</xdr:colOff>
      <xdr:row>18</xdr:row>
      <xdr:rowOff>0</xdr:rowOff>
    </xdr:from>
    <xdr:to>
      <xdr:col>12</xdr:col>
      <xdr:colOff>381001</xdr:colOff>
      <xdr:row>28</xdr:row>
      <xdr:rowOff>175260</xdr:rowOff>
    </xdr:to>
    <xdr:graphicFrame macro="">
      <xdr:nvGraphicFramePr>
        <xdr:cNvPr id="4" name="Chart 3">
          <a:extLst>
            <a:ext uri="{FF2B5EF4-FFF2-40B4-BE49-F238E27FC236}">
              <a16:creationId xmlns:a16="http://schemas.microsoft.com/office/drawing/2014/main" id="{86BEA638-0661-435E-B1E7-5922702A2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769622</xdr:colOff>
      <xdr:row>18</xdr:row>
      <xdr:rowOff>0</xdr:rowOff>
    </xdr:from>
    <xdr:to>
      <xdr:col>6</xdr:col>
      <xdr:colOff>773906</xdr:colOff>
      <xdr:row>29</xdr:row>
      <xdr:rowOff>7619</xdr:rowOff>
    </xdr:to>
    <xdr:graphicFrame macro="">
      <xdr:nvGraphicFramePr>
        <xdr:cNvPr id="5" name="Chart 4">
          <a:extLst>
            <a:ext uri="{FF2B5EF4-FFF2-40B4-BE49-F238E27FC236}">
              <a16:creationId xmlns:a16="http://schemas.microsoft.com/office/drawing/2014/main" id="{6A786179-D14C-4097-AB98-FE6FE89262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869150</xdr:colOff>
      <xdr:row>5</xdr:row>
      <xdr:rowOff>35718</xdr:rowOff>
    </xdr:from>
    <xdr:to>
      <xdr:col>5</xdr:col>
      <xdr:colOff>833906</xdr:colOff>
      <xdr:row>6</xdr:row>
      <xdr:rowOff>2739</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F319B9F2-9BB0-4603-A11C-E15E4FEB3E0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50213" y="1762124"/>
              <a:ext cx="3489006" cy="6575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879159</xdr:colOff>
      <xdr:row>5</xdr:row>
      <xdr:rowOff>35718</xdr:rowOff>
    </xdr:from>
    <xdr:to>
      <xdr:col>9</xdr:col>
      <xdr:colOff>734379</xdr:colOff>
      <xdr:row>6</xdr:row>
      <xdr:rowOff>268</xdr:rowOff>
    </xdr:to>
    <mc:AlternateContent xmlns:mc="http://schemas.openxmlformats.org/markup-compatibility/2006" xmlns:a14="http://schemas.microsoft.com/office/drawing/2010/main">
      <mc:Choice Requires="a14">
        <xdr:graphicFrame macro="">
          <xdr:nvGraphicFramePr>
            <xdr:cNvPr id="7" name="Salesperson 1">
              <a:extLst>
                <a:ext uri="{FF2B5EF4-FFF2-40B4-BE49-F238E27FC236}">
                  <a16:creationId xmlns:a16="http://schemas.microsoft.com/office/drawing/2014/main" id="{08DF9F10-CFB2-4528-9DDC-4EF503BD0F73}"/>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5284472" y="1762124"/>
              <a:ext cx="3379470" cy="6551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761045</xdr:colOff>
      <xdr:row>5</xdr:row>
      <xdr:rowOff>39052</xdr:rowOff>
    </xdr:from>
    <xdr:to>
      <xdr:col>11</xdr:col>
      <xdr:colOff>860104</xdr:colOff>
      <xdr:row>5</xdr:row>
      <xdr:rowOff>678925</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8894CE77-B4C9-42A1-B7A5-A26040A2E06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690608" y="1765458"/>
              <a:ext cx="1861184" cy="6398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21</xdr:col>
      <xdr:colOff>0</xdr:colOff>
      <xdr:row>7</xdr:row>
      <xdr:rowOff>156210</xdr:rowOff>
    </xdr:from>
    <xdr:to>
      <xdr:col>25</xdr:col>
      <xdr:colOff>586740</xdr:colOff>
      <xdr:row>18</xdr:row>
      <xdr:rowOff>160020</xdr:rowOff>
    </xdr:to>
    <xdr:graphicFrame macro="">
      <xdr:nvGraphicFramePr>
        <xdr:cNvPr id="4" name="Chart 3">
          <a:extLst>
            <a:ext uri="{FF2B5EF4-FFF2-40B4-BE49-F238E27FC236}">
              <a16:creationId xmlns:a16="http://schemas.microsoft.com/office/drawing/2014/main" id="{8117A3E0-C9CC-1B23-007D-D6689C9D4F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6</xdr:row>
      <xdr:rowOff>361950</xdr:rowOff>
    </xdr:from>
    <xdr:to>
      <xdr:col>9</xdr:col>
      <xdr:colOff>0</xdr:colOff>
      <xdr:row>19</xdr:row>
      <xdr:rowOff>53340</xdr:rowOff>
    </xdr:to>
    <xdr:graphicFrame macro="">
      <xdr:nvGraphicFramePr>
        <xdr:cNvPr id="6" name="Chart 5">
          <a:extLst>
            <a:ext uri="{FF2B5EF4-FFF2-40B4-BE49-F238E27FC236}">
              <a16:creationId xmlns:a16="http://schemas.microsoft.com/office/drawing/2014/main" id="{117525B7-E715-1FFB-F48D-67E126C1F1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7620</xdr:colOff>
      <xdr:row>7</xdr:row>
      <xdr:rowOff>30480</xdr:rowOff>
    </xdr:from>
    <xdr:to>
      <xdr:col>15</xdr:col>
      <xdr:colOff>38100</xdr:colOff>
      <xdr:row>18</xdr:row>
      <xdr:rowOff>156210</xdr:rowOff>
    </xdr:to>
    <xdr:graphicFrame macro="">
      <xdr:nvGraphicFramePr>
        <xdr:cNvPr id="7" name="Chart 6">
          <a:extLst>
            <a:ext uri="{FF2B5EF4-FFF2-40B4-BE49-F238E27FC236}">
              <a16:creationId xmlns:a16="http://schemas.microsoft.com/office/drawing/2014/main" id="{E9A9EEBD-E17D-DE6B-4936-4319FFF03E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464820</xdr:colOff>
      <xdr:row>7</xdr:row>
      <xdr:rowOff>186690</xdr:rowOff>
    </xdr:from>
    <xdr:to>
      <xdr:col>20</xdr:col>
      <xdr:colOff>480060</xdr:colOff>
      <xdr:row>19</xdr:row>
      <xdr:rowOff>0</xdr:rowOff>
    </xdr:to>
    <xdr:graphicFrame macro="">
      <xdr:nvGraphicFramePr>
        <xdr:cNvPr id="8" name="Chart 7">
          <a:extLst>
            <a:ext uri="{FF2B5EF4-FFF2-40B4-BE49-F238E27FC236}">
              <a16:creationId xmlns:a16="http://schemas.microsoft.com/office/drawing/2014/main" id="{B366B3AF-90B1-9902-344F-68A58A716D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7620</xdr:colOff>
      <xdr:row>14</xdr:row>
      <xdr:rowOff>0</xdr:rowOff>
    </xdr:from>
    <xdr:to>
      <xdr:col>14</xdr:col>
      <xdr:colOff>129540</xdr:colOff>
      <xdr:row>22</xdr:row>
      <xdr:rowOff>160020</xdr:rowOff>
    </xdr:to>
    <xdr:graphicFrame macro="">
      <xdr:nvGraphicFramePr>
        <xdr:cNvPr id="2" name="Chart 1">
          <a:extLst>
            <a:ext uri="{FF2B5EF4-FFF2-40B4-BE49-F238E27FC236}">
              <a16:creationId xmlns:a16="http://schemas.microsoft.com/office/drawing/2014/main" id="{A03BD14F-D840-4A83-9936-696E2B3288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li Jaiswal" refreshedDate="46274.393009027779" createdVersion="8" refreshedVersion="8" minRefreshableVersion="3" recordCount="20" xr:uid="{A9F2DBCB-A9B7-425E-A494-8FB0851D992B}">
  <cacheSource type="worksheet">
    <worksheetSource name="SalesData"/>
  </cacheSource>
  <cacheFields count="14">
    <cacheField name="Order ID" numFmtId="0">
      <sharedItems/>
    </cacheField>
    <cacheField name="Date" numFmtId="15">
      <sharedItems containsSemiMixedTypes="0" containsNonDate="0" containsDate="1" containsString="0" minDate="2026-03-01T00:00:00" maxDate="2026-04-13T00:00:00" count="20">
        <d v="2026-03-01T00:00:00"/>
        <d v="2026-03-02T00:00:00"/>
        <d v="2026-03-04T00:00:00"/>
        <d v="2026-03-06T00:00:00"/>
        <d v="2026-03-08T00:00:00"/>
        <d v="2026-03-10T00:00:00"/>
        <d v="2026-03-12T00:00:00"/>
        <d v="2026-03-15T00:00:00"/>
        <d v="2026-03-18T00:00:00"/>
        <d v="2026-03-20T00:00:00"/>
        <d v="2026-03-22T00:00:00"/>
        <d v="2026-03-24T00:00:00"/>
        <d v="2026-03-26T00:00:00"/>
        <d v="2026-03-28T00:00:00"/>
        <d v="2026-03-30T00:00:00"/>
        <d v="2026-04-02T00:00:00"/>
        <d v="2026-04-04T00:00:00"/>
        <d v="2026-04-07T00:00:00"/>
        <d v="2026-04-10T00:00:00"/>
        <d v="2026-04-12T00:00:00"/>
      </sharedItems>
      <fieldGroup par="13"/>
    </cacheField>
    <cacheField name="Region" numFmtId="0">
      <sharedItems count="4">
        <s v="Kathmandu"/>
        <s v="Lalitpur"/>
        <s v="Pokhara"/>
        <s v="Bharatpur"/>
      </sharedItems>
    </cacheField>
    <cacheField name="Salesperson" numFmtId="0">
      <sharedItems count="5">
        <s v="Anisha"/>
        <s v="Rahul"/>
        <s v="Priya"/>
        <s v="Suman"/>
        <s v="Riya"/>
      </sharedItems>
    </cacheField>
    <cacheField name="Category" numFmtId="0">
      <sharedItems count="2">
        <s v="Electronics"/>
        <s v="Accessories"/>
      </sharedItems>
    </cacheField>
    <cacheField name="Product" numFmtId="0">
      <sharedItems count="5">
        <s v="Laptop"/>
        <s v="Mouse"/>
        <s v="Monitor"/>
        <s v="Keyboard"/>
        <s v="Webcam"/>
      </sharedItems>
    </cacheField>
    <cacheField name="Units" numFmtId="0">
      <sharedItems containsSemiMixedTypes="0" containsString="0" containsNumber="1" containsInteger="1" minValue="1" maxValue="20"/>
    </cacheField>
    <cacheField name="Revenue" numFmtId="0">
      <sharedItems containsSemiMixedTypes="0" containsString="0" containsNumber="1" containsInteger="1" minValue="18000" maxValue="240000"/>
    </cacheField>
    <cacheField name="Cost" numFmtId="0">
      <sharedItems containsSemiMixedTypes="0" containsString="0" containsNumber="1" containsInteger="1" minValue="10800" maxValue="198000"/>
    </cacheField>
    <cacheField name="Profit" numFmtId="0">
      <sharedItems containsSemiMixedTypes="0" containsString="0" containsNumber="1" containsInteger="1" minValue="7200" maxValue="42000"/>
    </cacheField>
    <cacheField name="Profit Margin" numFmtId="10">
      <sharedItems containsSemiMixedTypes="0" containsString="0" containsNumber="1" minValue="0.17499999999999999" maxValue="0.4" count="4">
        <n v="0.17499999999999999"/>
        <n v="0.4"/>
        <n v="0.23333333333333334"/>
        <n v="0.33333333333333331"/>
      </sharedItems>
    </cacheField>
    <cacheField name="Revenue per Units" numFmtId="0">
      <sharedItems containsSemiMixedTypes="0" containsString="0" containsNumber="1" containsInteger="1" minValue="1500" maxValue="80000"/>
    </cacheField>
    <cacheField name="Months (Date)" numFmtId="0" databaseField="0">
      <fieldGroup base="1">
        <rangePr groupBy="months" startDate="2026-03-01T00:00:00" endDate="2026-04-13T00:00:00"/>
        <groupItems count="14">
          <s v="&lt;01-03-2026"/>
          <s v="Jan"/>
          <s v="Feb"/>
          <s v="Mar"/>
          <s v="Apr"/>
          <s v="May"/>
          <s v="Jun"/>
          <s v="Jul"/>
          <s v="Aug"/>
          <s v="Sep"/>
          <s v="Oct"/>
          <s v="Nov"/>
          <s v="Dec"/>
          <s v="&gt;13-04-2026"/>
        </groupItems>
      </fieldGroup>
    </cacheField>
    <cacheField name="Years (Date)" numFmtId="0" databaseField="0">
      <fieldGroup base="1">
        <rangePr groupBy="years" startDate="2026-03-01T00:00:00" endDate="2026-04-13T00:00:00"/>
        <groupItems count="3">
          <s v="&lt;01-03-2026"/>
          <s v="2026"/>
          <s v="&gt;13-04-2026"/>
        </groupItems>
      </fieldGroup>
    </cacheField>
  </cacheFields>
  <extLst>
    <ext xmlns:x14="http://schemas.microsoft.com/office/spreadsheetml/2009/9/main" uri="{725AE2AE-9491-48be-B2B4-4EB974FC3084}">
      <x14:pivotCacheDefinition pivotCacheId="8650494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O001"/>
    <x v="0"/>
    <x v="0"/>
    <x v="0"/>
    <x v="0"/>
    <x v="0"/>
    <n v="2"/>
    <n v="160000"/>
    <n v="132000"/>
    <n v="28000"/>
    <x v="0"/>
    <n v="80000"/>
  </r>
  <r>
    <s v="O002"/>
    <x v="1"/>
    <x v="1"/>
    <x v="1"/>
    <x v="1"/>
    <x v="1"/>
    <n v="12"/>
    <n v="18000"/>
    <n v="10800"/>
    <n v="7200"/>
    <x v="1"/>
    <n v="1500"/>
  </r>
  <r>
    <s v="O003"/>
    <x v="2"/>
    <x v="0"/>
    <x v="2"/>
    <x v="0"/>
    <x v="2"/>
    <n v="3"/>
    <n v="90000"/>
    <n v="69000"/>
    <n v="21000"/>
    <x v="2"/>
    <n v="30000"/>
  </r>
  <r>
    <s v="O004"/>
    <x v="3"/>
    <x v="2"/>
    <x v="3"/>
    <x v="1"/>
    <x v="3"/>
    <n v="6"/>
    <n v="18000"/>
    <n v="10800"/>
    <n v="7200"/>
    <x v="1"/>
    <n v="3000"/>
  </r>
  <r>
    <s v="O005"/>
    <x v="4"/>
    <x v="3"/>
    <x v="4"/>
    <x v="0"/>
    <x v="4"/>
    <n v="5"/>
    <n v="30000"/>
    <n v="20000"/>
    <n v="10000"/>
    <x v="3"/>
    <n v="6000"/>
  </r>
  <r>
    <s v="O006"/>
    <x v="5"/>
    <x v="0"/>
    <x v="0"/>
    <x v="0"/>
    <x v="0"/>
    <n v="1"/>
    <n v="80000"/>
    <n v="66000"/>
    <n v="14000"/>
    <x v="0"/>
    <n v="80000"/>
  </r>
  <r>
    <s v="O007"/>
    <x v="6"/>
    <x v="1"/>
    <x v="1"/>
    <x v="0"/>
    <x v="2"/>
    <n v="2"/>
    <n v="60000"/>
    <n v="46000"/>
    <n v="14000"/>
    <x v="2"/>
    <n v="30000"/>
  </r>
  <r>
    <s v="O008"/>
    <x v="7"/>
    <x v="2"/>
    <x v="3"/>
    <x v="0"/>
    <x v="0"/>
    <n v="1"/>
    <n v="80000"/>
    <n v="66000"/>
    <n v="14000"/>
    <x v="0"/>
    <n v="80000"/>
  </r>
  <r>
    <s v="O009"/>
    <x v="8"/>
    <x v="3"/>
    <x v="4"/>
    <x v="1"/>
    <x v="1"/>
    <n v="18"/>
    <n v="27000"/>
    <n v="16200"/>
    <n v="10800"/>
    <x v="1"/>
    <n v="1500"/>
  </r>
  <r>
    <s v="O010"/>
    <x v="9"/>
    <x v="0"/>
    <x v="2"/>
    <x v="0"/>
    <x v="0"/>
    <n v="2"/>
    <n v="160000"/>
    <n v="132000"/>
    <n v="28000"/>
    <x v="0"/>
    <n v="80000"/>
  </r>
  <r>
    <s v="O011"/>
    <x v="10"/>
    <x v="1"/>
    <x v="1"/>
    <x v="1"/>
    <x v="3"/>
    <n v="10"/>
    <n v="30000"/>
    <n v="18000"/>
    <n v="12000"/>
    <x v="1"/>
    <n v="3000"/>
  </r>
  <r>
    <s v="O012"/>
    <x v="11"/>
    <x v="2"/>
    <x v="3"/>
    <x v="0"/>
    <x v="2"/>
    <n v="4"/>
    <n v="120000"/>
    <n v="92000"/>
    <n v="28000"/>
    <x v="2"/>
    <n v="30000"/>
  </r>
  <r>
    <s v="O013"/>
    <x v="12"/>
    <x v="0"/>
    <x v="0"/>
    <x v="1"/>
    <x v="4"/>
    <n v="8"/>
    <n v="48000"/>
    <n v="32000"/>
    <n v="16000"/>
    <x v="3"/>
    <n v="6000"/>
  </r>
  <r>
    <s v="O014"/>
    <x v="13"/>
    <x v="3"/>
    <x v="4"/>
    <x v="0"/>
    <x v="0"/>
    <n v="1"/>
    <n v="80000"/>
    <n v="66000"/>
    <n v="14000"/>
    <x v="0"/>
    <n v="80000"/>
  </r>
  <r>
    <s v="O015"/>
    <x v="14"/>
    <x v="0"/>
    <x v="2"/>
    <x v="0"/>
    <x v="2"/>
    <n v="5"/>
    <n v="150000"/>
    <n v="115000"/>
    <n v="35000"/>
    <x v="2"/>
    <n v="30000"/>
  </r>
  <r>
    <s v="O016"/>
    <x v="15"/>
    <x v="0"/>
    <x v="0"/>
    <x v="0"/>
    <x v="2"/>
    <n v="2"/>
    <n v="60000"/>
    <n v="46000"/>
    <n v="14000"/>
    <x v="2"/>
    <n v="30000"/>
  </r>
  <r>
    <s v="O017"/>
    <x v="16"/>
    <x v="1"/>
    <x v="1"/>
    <x v="1"/>
    <x v="1"/>
    <n v="20"/>
    <n v="30000"/>
    <n v="18000"/>
    <n v="12000"/>
    <x v="1"/>
    <n v="1500"/>
  </r>
  <r>
    <s v="O018"/>
    <x v="17"/>
    <x v="2"/>
    <x v="3"/>
    <x v="0"/>
    <x v="0"/>
    <n v="2"/>
    <n v="160000"/>
    <n v="132000"/>
    <n v="28000"/>
    <x v="0"/>
    <n v="80000"/>
  </r>
  <r>
    <s v="O019"/>
    <x v="18"/>
    <x v="3"/>
    <x v="4"/>
    <x v="1"/>
    <x v="3"/>
    <n v="12"/>
    <n v="36000"/>
    <n v="21600"/>
    <n v="14400"/>
    <x v="1"/>
    <n v="3000"/>
  </r>
  <r>
    <s v="O020"/>
    <x v="19"/>
    <x v="0"/>
    <x v="2"/>
    <x v="0"/>
    <x v="0"/>
    <n v="3"/>
    <n v="240000"/>
    <n v="198000"/>
    <n v="42000"/>
    <x v="0"/>
    <n v="8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B3CE87-11CE-466B-8E90-C13D7159FE88}"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7:W11" firstHeaderRow="0" firstDataRow="1" firstDataCol="1"/>
  <pivotFields count="14">
    <pivotField showAll="0"/>
    <pivotField numFmtId="15" showAll="0">
      <items count="21">
        <item x="0"/>
        <item x="1"/>
        <item x="2"/>
        <item x="3"/>
        <item x="4"/>
        <item x="5"/>
        <item x="6"/>
        <item x="7"/>
        <item x="8"/>
        <item x="9"/>
        <item x="10"/>
        <item x="11"/>
        <item x="12"/>
        <item x="13"/>
        <item x="14"/>
        <item x="15"/>
        <item x="16"/>
        <item x="17"/>
        <item x="18"/>
        <item x="19"/>
        <item t="default"/>
      </items>
    </pivotField>
    <pivotField showAll="0">
      <items count="5">
        <item x="3"/>
        <item x="0"/>
        <item x="1"/>
        <item x="2"/>
        <item t="default"/>
      </items>
    </pivotField>
    <pivotField showAll="0">
      <items count="6">
        <item x="0"/>
        <item x="2"/>
        <item x="1"/>
        <item x="4"/>
        <item x="3"/>
        <item t="default"/>
      </items>
    </pivotField>
    <pivotField showAll="0">
      <items count="3">
        <item x="1"/>
        <item x="0"/>
        <item t="default"/>
      </items>
    </pivotField>
    <pivotField showAll="0"/>
    <pivotField showAll="0"/>
    <pivotField dataField="1" showAll="0"/>
    <pivotField showAll="0"/>
    <pivotField dataField="1" showAll="0"/>
    <pivotField numFmtId="10" showAll="0"/>
    <pivotField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13"/>
    <field x="12"/>
  </rowFields>
  <rowItems count="4">
    <i>
      <x v="1"/>
    </i>
    <i r="1">
      <x v="3"/>
    </i>
    <i r="1">
      <x v="4"/>
    </i>
    <i t="grand">
      <x/>
    </i>
  </rowItems>
  <colFields count="1">
    <field x="-2"/>
  </colFields>
  <colItems count="2">
    <i>
      <x/>
    </i>
    <i i="1">
      <x v="1"/>
    </i>
  </colItems>
  <dataFields count="2">
    <dataField name="Sum of Revenue" fld="7" baseField="0" baseItem="0"/>
    <dataField name="Sum of Profit"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262203-44C2-4A48-BC54-A2740A52BF9A}"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P7:S13" firstHeaderRow="0" firstDataRow="1" firstDataCol="1"/>
  <pivotFields count="14">
    <pivotField showAll="0"/>
    <pivotField numFmtId="15" showAll="0">
      <items count="21">
        <item x="0"/>
        <item x="1"/>
        <item x="2"/>
        <item x="3"/>
        <item x="4"/>
        <item x="5"/>
        <item x="6"/>
        <item x="7"/>
        <item x="8"/>
        <item x="9"/>
        <item x="10"/>
        <item x="11"/>
        <item x="12"/>
        <item x="13"/>
        <item x="14"/>
        <item x="15"/>
        <item x="16"/>
        <item x="17"/>
        <item x="18"/>
        <item x="19"/>
        <item t="default"/>
      </items>
    </pivotField>
    <pivotField showAll="0">
      <items count="5">
        <item x="3"/>
        <item x="0"/>
        <item x="1"/>
        <item x="2"/>
        <item t="default"/>
      </items>
    </pivotField>
    <pivotField showAll="0">
      <items count="6">
        <item x="0"/>
        <item x="2"/>
        <item x="1"/>
        <item x="4"/>
        <item x="3"/>
        <item t="default"/>
      </items>
    </pivotField>
    <pivotField showAll="0">
      <items count="3">
        <item x="1"/>
        <item x="0"/>
        <item t="default"/>
      </items>
    </pivotField>
    <pivotField axis="axisRow" showAll="0" sortType="descending">
      <items count="6">
        <item x="3"/>
        <item x="0"/>
        <item x="2"/>
        <item x="1"/>
        <item x="4"/>
        <item t="default"/>
      </items>
      <autoSortScope>
        <pivotArea dataOnly="0" outline="0" fieldPosition="0">
          <references count="1">
            <reference field="4294967294" count="1" selected="0">
              <x v="0"/>
            </reference>
          </references>
        </pivotArea>
      </autoSortScope>
    </pivotField>
    <pivotField dataField="1" showAll="0"/>
    <pivotField dataField="1" showAll="0"/>
    <pivotField showAll="0"/>
    <pivotField dataField="1" showAll="0"/>
    <pivotField numFmtId="10"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5"/>
  </rowFields>
  <rowItems count="6">
    <i>
      <x v="1"/>
    </i>
    <i>
      <x v="2"/>
    </i>
    <i>
      <x/>
    </i>
    <i>
      <x v="4"/>
    </i>
    <i>
      <x v="3"/>
    </i>
    <i t="grand">
      <x/>
    </i>
  </rowItems>
  <colFields count="1">
    <field x="-2"/>
  </colFields>
  <colItems count="3">
    <i>
      <x/>
    </i>
    <i i="1">
      <x v="1"/>
    </i>
    <i i="2">
      <x v="2"/>
    </i>
  </colItems>
  <dataFields count="3">
    <dataField name="Sum of Revenue" fld="7" baseField="0" baseItem="0"/>
    <dataField name="Sum of Profit" fld="9" baseField="0" baseItem="0"/>
    <dataField name="Sum of Units" fld="6"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83D694-FBB3-48D5-AAF2-4DFC044D77F4}"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7:N10" firstHeaderRow="0" firstDataRow="1" firstDataCol="1"/>
  <pivotFields count="14">
    <pivotField showAll="0"/>
    <pivotField numFmtId="15" showAll="0">
      <items count="21">
        <item x="0"/>
        <item x="1"/>
        <item x="2"/>
        <item x="3"/>
        <item x="4"/>
        <item x="5"/>
        <item x="6"/>
        <item x="7"/>
        <item x="8"/>
        <item x="9"/>
        <item x="10"/>
        <item x="11"/>
        <item x="12"/>
        <item x="13"/>
        <item x="14"/>
        <item x="15"/>
        <item x="16"/>
        <item x="17"/>
        <item x="18"/>
        <item x="19"/>
        <item t="default"/>
      </items>
    </pivotField>
    <pivotField showAll="0">
      <items count="5">
        <item x="3"/>
        <item x="0"/>
        <item x="1"/>
        <item x="2"/>
        <item t="default"/>
      </items>
    </pivotField>
    <pivotField showAll="0">
      <items count="6">
        <item x="0"/>
        <item x="2"/>
        <item x="1"/>
        <item x="4"/>
        <item x="3"/>
        <item t="default"/>
      </items>
    </pivotField>
    <pivotField axis="axisRow" showAll="0">
      <items count="3">
        <item x="1"/>
        <item x="0"/>
        <item t="default"/>
      </items>
    </pivotField>
    <pivotField showAll="0"/>
    <pivotField dataField="1" showAll="0"/>
    <pivotField dataField="1" showAll="0"/>
    <pivotField showAll="0"/>
    <pivotField dataField="1" showAll="0"/>
    <pivotField numFmtId="10"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4"/>
  </rowFields>
  <rowItems count="3">
    <i>
      <x/>
    </i>
    <i>
      <x v="1"/>
    </i>
    <i t="grand">
      <x/>
    </i>
  </rowItems>
  <colFields count="1">
    <field x="-2"/>
  </colFields>
  <colItems count="3">
    <i>
      <x/>
    </i>
    <i i="1">
      <x v="1"/>
    </i>
    <i i="2">
      <x v="2"/>
    </i>
  </colItems>
  <dataFields count="3">
    <dataField name="Sum of Revenue" fld="7" baseField="0" baseItem="0"/>
    <dataField name="Sum of Profit" fld="9" baseField="0" baseItem="0"/>
    <dataField name="Sum of Unit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43DE22-177B-43DA-BF9E-009814A3FA02}"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7:I13" firstHeaderRow="0" firstDataRow="1" firstDataCol="1"/>
  <pivotFields count="14">
    <pivotField showAll="0"/>
    <pivotField numFmtId="15" showAll="0">
      <items count="21">
        <item x="0"/>
        <item x="1"/>
        <item x="2"/>
        <item x="3"/>
        <item x="4"/>
        <item x="5"/>
        <item x="6"/>
        <item x="7"/>
        <item x="8"/>
        <item x="9"/>
        <item x="10"/>
        <item x="11"/>
        <item x="12"/>
        <item x="13"/>
        <item x="14"/>
        <item x="15"/>
        <item x="16"/>
        <item x="17"/>
        <item x="18"/>
        <item x="19"/>
        <item t="default"/>
      </items>
    </pivotField>
    <pivotField showAll="0">
      <items count="5">
        <item x="3"/>
        <item x="0"/>
        <item x="1"/>
        <item x="2"/>
        <item t="default"/>
      </items>
    </pivotField>
    <pivotField axis="axisRow" showAll="0" sortType="descending">
      <items count="6">
        <item x="0"/>
        <item x="2"/>
        <item x="1"/>
        <item x="4"/>
        <item x="3"/>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dataField="1" showAll="0"/>
    <pivotField dataField="1" showAll="0"/>
    <pivotField showAll="0"/>
    <pivotField dataField="1" showAll="0"/>
    <pivotField numFmtId="10"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3"/>
  </rowFields>
  <rowItems count="6">
    <i>
      <x v="1"/>
    </i>
    <i>
      <x v="4"/>
    </i>
    <i>
      <x/>
    </i>
    <i>
      <x v="3"/>
    </i>
    <i>
      <x v="2"/>
    </i>
    <i t="grand">
      <x/>
    </i>
  </rowItems>
  <colFields count="1">
    <field x="-2"/>
  </colFields>
  <colItems count="3">
    <i>
      <x/>
    </i>
    <i i="1">
      <x v="1"/>
    </i>
    <i i="2">
      <x v="2"/>
    </i>
  </colItems>
  <dataFields count="3">
    <dataField name="Sum of Revenue" fld="7" baseField="0" baseItem="0"/>
    <dataField name="Sum of Profit" fld="9" baseField="0" baseItem="0"/>
    <dataField name="Sum of Units" fld="6"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100B5B-FCD0-453E-9BC1-9F39E9FB679C}" name="PivotTable1"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7:C12" firstHeaderRow="0" firstDataRow="1" firstDataCol="1"/>
  <pivotFields count="14">
    <pivotField showAll="0"/>
    <pivotField numFmtId="15" showAll="0">
      <items count="21">
        <item x="0"/>
        <item x="1"/>
        <item x="2"/>
        <item x="3"/>
        <item x="4"/>
        <item x="5"/>
        <item x="6"/>
        <item x="7"/>
        <item x="8"/>
        <item x="9"/>
        <item x="10"/>
        <item x="11"/>
        <item x="12"/>
        <item x="13"/>
        <item x="14"/>
        <item x="15"/>
        <item x="16"/>
        <item x="17"/>
        <item x="18"/>
        <item x="19"/>
        <item t="default"/>
      </items>
    </pivotField>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items count="6">
        <item x="0"/>
        <item x="2"/>
        <item x="1"/>
        <item x="4"/>
        <item x="3"/>
        <item t="default"/>
      </items>
    </pivotField>
    <pivotField showAll="0">
      <items count="3">
        <item x="1"/>
        <item x="0"/>
        <item t="default"/>
      </items>
    </pivotField>
    <pivotField showAll="0"/>
    <pivotField showAll="0"/>
    <pivotField dataField="1" showAll="0"/>
    <pivotField showAll="0"/>
    <pivotField dataField="1" showAll="0"/>
    <pivotField numFmtId="10"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2"/>
  </rowFields>
  <rowItems count="5">
    <i>
      <x v="1"/>
    </i>
    <i>
      <x v="3"/>
    </i>
    <i>
      <x/>
    </i>
    <i>
      <x v="2"/>
    </i>
    <i t="grand">
      <x/>
    </i>
  </rowItems>
  <colFields count="1">
    <field x="-2"/>
  </colFields>
  <colItems count="2">
    <i>
      <x/>
    </i>
    <i i="1">
      <x v="1"/>
    </i>
  </colItems>
  <dataFields count="2">
    <dataField name="Sum of Revenue" fld="7" baseField="0" baseItem="0"/>
    <dataField name="Sum of Profit"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9331E91-A72F-4487-AE2C-25AA9DA4D63E}" sourceName="Region">
  <pivotTables>
    <pivotTable tabId="3" name="PivotTable1"/>
    <pivotTable tabId="3" name="PivotTable2"/>
    <pivotTable tabId="3" name="PivotTable3"/>
    <pivotTable tabId="3" name="PivotTable4"/>
    <pivotTable tabId="3" name="PivotTable5"/>
  </pivotTables>
  <data>
    <tabular pivotCacheId="865049408">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323CEEFF-3EF0-4AA0-9249-2D44451D940A}" sourceName="Salesperson">
  <pivotTables>
    <pivotTable tabId="3" name="PivotTable1"/>
    <pivotTable tabId="3" name="PivotTable2"/>
    <pivotTable tabId="3" name="PivotTable3"/>
    <pivotTable tabId="3" name="PivotTable4"/>
    <pivotTable tabId="3" name="PivotTable5"/>
  </pivotTables>
  <data>
    <tabular pivotCacheId="865049408">
      <items count="5">
        <i x="0" s="1"/>
        <i x="2" s="1"/>
        <i x="1"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766653B-086F-4945-9C33-C3723B90C396}" sourceName="Category">
  <pivotTables>
    <pivotTable tabId="3" name="PivotTable1"/>
    <pivotTable tabId="3" name="PivotTable2"/>
    <pivotTable tabId="3" name="PivotTable3"/>
    <pivotTable tabId="3" name="PivotTable4"/>
    <pivotTable tabId="3" name="PivotTable5"/>
  </pivotTables>
  <data>
    <tabular pivotCacheId="86504940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0BBA812-2EE3-4DD4-B791-2CE48DDDD8E3}" cache="Slicer_Region" caption="Region" columnCount="4" rowHeight="234950"/>
  <slicer name="Salesperson" xr10:uid="{997F520C-EA86-4EE2-A9BC-3E03A6A31C80}" cache="Slicer_Salesperson" caption="Salesperson" columnCount="5" rowHeight="234950"/>
  <slicer name="Category" xr10:uid="{FFA64FA9-1096-448C-853C-6686C64C0A3C}" cache="Slicer_Category" caption="Category"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16B1F98-3D06-4390-B177-D1A4969A38C5}" cache="Slicer_Region" caption="Region" columnCount="4" rowHeight="234950"/>
  <slicer name="Salesperson 1" xr10:uid="{7584225D-F0A6-486F-8CCF-54AB13853470}" cache="Slicer_Salesperson" caption="Salesperson" columnCount="5" rowHeight="234950"/>
  <slicer name="Category 1" xr10:uid="{35B2350C-E43B-467C-8D49-F491B2298273}" cache="Slicer_Category" caption="Category"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EC37B9-FC5D-475C-AD62-E395589A9D2D}" name="SalesData" displayName="SalesData" ref="A1:L21" totalsRowShown="0" headerRowDxfId="13" dataDxfId="12">
  <tableColumns count="12">
    <tableColumn id="1" xr3:uid="{8B9ADD4C-37D6-4612-92A1-C0908EBA1E5F}" name="Order ID" dataDxfId="11"/>
    <tableColumn id="2" xr3:uid="{3BEB8FD5-19B8-44DF-AED6-8C68A7E9F053}" name="Date" dataDxfId="10"/>
    <tableColumn id="3" xr3:uid="{F1035A79-8BA9-44EF-93AB-FD4CAEC6E931}" name="Region" dataDxfId="9"/>
    <tableColumn id="4" xr3:uid="{18D6404A-8F84-4DF9-BA9D-D0FA71F485BC}" name="Salesperson" dataDxfId="8"/>
    <tableColumn id="5" xr3:uid="{62F32EC1-E091-4B8A-BE93-C2F1EB75124E}" name="Category" dataDxfId="7"/>
    <tableColumn id="6" xr3:uid="{27EE9603-7C25-47CF-B72B-B5A23559A5B7}" name="Product" dataDxfId="6"/>
    <tableColumn id="7" xr3:uid="{747D7B76-C95C-48F9-99E8-78A0C363DD65}" name="Units" dataDxfId="5"/>
    <tableColumn id="8" xr3:uid="{0837344F-0E45-40D4-BF5A-EEF0AB8AB8D7}" name="Revenue" dataDxfId="4"/>
    <tableColumn id="9" xr3:uid="{1248F1B3-2595-4652-AF40-E2383BCD0F0E}" name="Cost" dataDxfId="3"/>
    <tableColumn id="10" xr3:uid="{3B1BC75C-A80C-423D-94F2-98DD6E1ABA54}" name="Profit" dataDxfId="2">
      <calculatedColumnFormula>SalesData[[#This Row],[Revenue]]-SalesData[[#This Row],[Cost]]</calculatedColumnFormula>
    </tableColumn>
    <tableColumn id="11" xr3:uid="{FB28E268-9E3C-4D57-8E98-07EDA9752274}" name="Profit Margin" dataDxfId="1">
      <calculatedColumnFormula>SalesData[[#This Row],[Profit]]/SalesData[[#This Row],[Revenue]]</calculatedColumnFormula>
    </tableColumn>
    <tableColumn id="12" xr3:uid="{8E24DD49-1B8A-4680-816C-AD51956C01D8}" name="Revenue per Units" dataDxfId="0">
      <calculatedColumnFormula>SalesData[[#This Row],[Revenue]]/SalesData[[#This Row],[Units]]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6AB41-3E63-4413-8925-AE308A98064C}">
  <dimension ref="A1:L21"/>
  <sheetViews>
    <sheetView workbookViewId="0">
      <selection activeCell="C5" sqref="C5"/>
    </sheetView>
  </sheetViews>
  <sheetFormatPr defaultRowHeight="14.4" x14ac:dyDescent="0.3"/>
  <cols>
    <col min="1" max="1" width="9.88671875" customWidth="1"/>
    <col min="2" max="2" width="10.88671875" customWidth="1"/>
    <col min="3" max="3" width="11.6640625" customWidth="1"/>
    <col min="4" max="4" width="13.6640625" customWidth="1"/>
    <col min="5" max="5" width="13.21875" customWidth="1"/>
    <col min="6" max="6" width="9.5546875" customWidth="1"/>
    <col min="8" max="8" width="10.21875" customWidth="1"/>
    <col min="11" max="11" width="13.33203125" customWidth="1"/>
    <col min="12" max="13" width="17.6640625" customWidth="1"/>
  </cols>
  <sheetData>
    <row r="1" spans="1:12" ht="28.8" x14ac:dyDescent="0.3">
      <c r="A1" s="1" t="s">
        <v>0</v>
      </c>
      <c r="B1" s="1" t="s">
        <v>1</v>
      </c>
      <c r="C1" s="1" t="s">
        <v>2</v>
      </c>
      <c r="D1" s="1" t="s">
        <v>3</v>
      </c>
      <c r="E1" s="1" t="s">
        <v>4</v>
      </c>
      <c r="F1" s="1" t="s">
        <v>5</v>
      </c>
      <c r="G1" s="3" t="s">
        <v>6</v>
      </c>
      <c r="H1" s="3" t="s">
        <v>7</v>
      </c>
      <c r="I1" s="3" t="s">
        <v>8</v>
      </c>
      <c r="J1" s="3" t="s">
        <v>45</v>
      </c>
      <c r="K1" s="3" t="s">
        <v>46</v>
      </c>
      <c r="L1" s="3" t="s">
        <v>47</v>
      </c>
    </row>
    <row r="2" spans="1:12" x14ac:dyDescent="0.3">
      <c r="A2" s="4" t="s">
        <v>9</v>
      </c>
      <c r="B2" s="5">
        <v>46082</v>
      </c>
      <c r="C2" s="4" t="s">
        <v>10</v>
      </c>
      <c r="D2" s="4" t="s">
        <v>11</v>
      </c>
      <c r="E2" s="4" t="s">
        <v>12</v>
      </c>
      <c r="F2" s="4" t="s">
        <v>13</v>
      </c>
      <c r="G2" s="2">
        <v>2</v>
      </c>
      <c r="H2" s="2">
        <v>160000</v>
      </c>
      <c r="I2" s="2">
        <v>132000</v>
      </c>
      <c r="J2" s="2">
        <f>SalesData[[#This Row],[Revenue]]-SalesData[[#This Row],[Cost]]</f>
        <v>28000</v>
      </c>
      <c r="K2" s="6">
        <f>SalesData[[#This Row],[Profit]]/SalesData[[#This Row],[Revenue]]</f>
        <v>0.17499999999999999</v>
      </c>
      <c r="L2" s="2">
        <f>SalesData[[#This Row],[Revenue]]/SalesData[[#This Row],[Units]]</f>
        <v>80000</v>
      </c>
    </row>
    <row r="3" spans="1:12" x14ac:dyDescent="0.3">
      <c r="A3" s="4" t="s">
        <v>14</v>
      </c>
      <c r="B3" s="5">
        <v>46083</v>
      </c>
      <c r="C3" s="4" t="s">
        <v>15</v>
      </c>
      <c r="D3" s="4" t="s">
        <v>16</v>
      </c>
      <c r="E3" s="4" t="s">
        <v>17</v>
      </c>
      <c r="F3" s="4" t="s">
        <v>18</v>
      </c>
      <c r="G3" s="2">
        <v>12</v>
      </c>
      <c r="H3" s="2">
        <v>18000</v>
      </c>
      <c r="I3" s="2">
        <v>10800</v>
      </c>
      <c r="J3" s="2">
        <f>SalesData[[#This Row],[Revenue]]-SalesData[[#This Row],[Cost]]</f>
        <v>7200</v>
      </c>
      <c r="K3" s="6">
        <f>SalesData[[#This Row],[Profit]]/SalesData[[#This Row],[Revenue]]</f>
        <v>0.4</v>
      </c>
      <c r="L3" s="2">
        <f>SalesData[[#This Row],[Revenue]]/SalesData[[#This Row],[Units]]</f>
        <v>1500</v>
      </c>
    </row>
    <row r="4" spans="1:12" x14ac:dyDescent="0.3">
      <c r="A4" s="4" t="s">
        <v>19</v>
      </c>
      <c r="B4" s="5">
        <v>46085</v>
      </c>
      <c r="C4" s="4" t="s">
        <v>10</v>
      </c>
      <c r="D4" s="4" t="s">
        <v>20</v>
      </c>
      <c r="E4" s="4" t="s">
        <v>12</v>
      </c>
      <c r="F4" s="4" t="s">
        <v>21</v>
      </c>
      <c r="G4" s="2">
        <v>3</v>
      </c>
      <c r="H4" s="2">
        <v>90000</v>
      </c>
      <c r="I4" s="2">
        <v>69000</v>
      </c>
      <c r="J4" s="2">
        <f>SalesData[[#This Row],[Revenue]]-SalesData[[#This Row],[Cost]]</f>
        <v>21000</v>
      </c>
      <c r="K4" s="6">
        <f>SalesData[[#This Row],[Profit]]/SalesData[[#This Row],[Revenue]]</f>
        <v>0.23333333333333334</v>
      </c>
      <c r="L4" s="2">
        <f>SalesData[[#This Row],[Revenue]]/SalesData[[#This Row],[Units]]</f>
        <v>30000</v>
      </c>
    </row>
    <row r="5" spans="1:12" x14ac:dyDescent="0.3">
      <c r="A5" s="4" t="s">
        <v>22</v>
      </c>
      <c r="B5" s="5">
        <v>46087</v>
      </c>
      <c r="C5" s="4" t="s">
        <v>23</v>
      </c>
      <c r="D5" s="4" t="s">
        <v>24</v>
      </c>
      <c r="E5" s="4" t="s">
        <v>17</v>
      </c>
      <c r="F5" s="4" t="s">
        <v>25</v>
      </c>
      <c r="G5" s="2">
        <v>6</v>
      </c>
      <c r="H5" s="2">
        <v>18000</v>
      </c>
      <c r="I5" s="2">
        <v>10800</v>
      </c>
      <c r="J5" s="2">
        <f>SalesData[[#This Row],[Revenue]]-SalesData[[#This Row],[Cost]]</f>
        <v>7200</v>
      </c>
      <c r="K5" s="6">
        <f>SalesData[[#This Row],[Profit]]/SalesData[[#This Row],[Revenue]]</f>
        <v>0.4</v>
      </c>
      <c r="L5" s="2">
        <f>SalesData[[#This Row],[Revenue]]/SalesData[[#This Row],[Units]]</f>
        <v>3000</v>
      </c>
    </row>
    <row r="6" spans="1:12" x14ac:dyDescent="0.3">
      <c r="A6" s="4" t="s">
        <v>26</v>
      </c>
      <c r="B6" s="5">
        <v>46089</v>
      </c>
      <c r="C6" s="4" t="s">
        <v>27</v>
      </c>
      <c r="D6" s="4" t="s">
        <v>28</v>
      </c>
      <c r="E6" s="4" t="s">
        <v>12</v>
      </c>
      <c r="F6" s="4" t="s">
        <v>29</v>
      </c>
      <c r="G6" s="2">
        <v>5</v>
      </c>
      <c r="H6" s="2">
        <v>30000</v>
      </c>
      <c r="I6" s="2">
        <v>20000</v>
      </c>
      <c r="J6" s="2">
        <f>SalesData[[#This Row],[Revenue]]-SalesData[[#This Row],[Cost]]</f>
        <v>10000</v>
      </c>
      <c r="K6" s="6">
        <f>SalesData[[#This Row],[Profit]]/SalesData[[#This Row],[Revenue]]</f>
        <v>0.33333333333333331</v>
      </c>
      <c r="L6" s="2">
        <f>SalesData[[#This Row],[Revenue]]/SalesData[[#This Row],[Units]]</f>
        <v>6000</v>
      </c>
    </row>
    <row r="7" spans="1:12" x14ac:dyDescent="0.3">
      <c r="A7" s="4" t="s">
        <v>30</v>
      </c>
      <c r="B7" s="5">
        <v>46091</v>
      </c>
      <c r="C7" s="4" t="s">
        <v>10</v>
      </c>
      <c r="D7" s="4" t="s">
        <v>11</v>
      </c>
      <c r="E7" s="4" t="s">
        <v>12</v>
      </c>
      <c r="F7" s="4" t="s">
        <v>13</v>
      </c>
      <c r="G7" s="2">
        <v>1</v>
      </c>
      <c r="H7" s="2">
        <v>80000</v>
      </c>
      <c r="I7" s="2">
        <v>66000</v>
      </c>
      <c r="J7" s="2">
        <f>SalesData[[#This Row],[Revenue]]-SalesData[[#This Row],[Cost]]</f>
        <v>14000</v>
      </c>
      <c r="K7" s="6">
        <f>SalesData[[#This Row],[Profit]]/SalesData[[#This Row],[Revenue]]</f>
        <v>0.17499999999999999</v>
      </c>
      <c r="L7" s="2">
        <f>SalesData[[#This Row],[Revenue]]/SalesData[[#This Row],[Units]]</f>
        <v>80000</v>
      </c>
    </row>
    <row r="8" spans="1:12" x14ac:dyDescent="0.3">
      <c r="A8" s="4" t="s">
        <v>31</v>
      </c>
      <c r="B8" s="5">
        <v>46093</v>
      </c>
      <c r="C8" s="4" t="s">
        <v>15</v>
      </c>
      <c r="D8" s="4" t="s">
        <v>16</v>
      </c>
      <c r="E8" s="4" t="s">
        <v>12</v>
      </c>
      <c r="F8" s="4" t="s">
        <v>21</v>
      </c>
      <c r="G8" s="2">
        <v>2</v>
      </c>
      <c r="H8" s="2">
        <v>60000</v>
      </c>
      <c r="I8" s="2">
        <v>46000</v>
      </c>
      <c r="J8" s="2">
        <f>SalesData[[#This Row],[Revenue]]-SalesData[[#This Row],[Cost]]</f>
        <v>14000</v>
      </c>
      <c r="K8" s="6">
        <f>SalesData[[#This Row],[Profit]]/SalesData[[#This Row],[Revenue]]</f>
        <v>0.23333333333333334</v>
      </c>
      <c r="L8" s="2">
        <f>SalesData[[#This Row],[Revenue]]/SalesData[[#This Row],[Units]]</f>
        <v>30000</v>
      </c>
    </row>
    <row r="9" spans="1:12" x14ac:dyDescent="0.3">
      <c r="A9" s="4" t="s">
        <v>32</v>
      </c>
      <c r="B9" s="5">
        <v>46096</v>
      </c>
      <c r="C9" s="4" t="s">
        <v>23</v>
      </c>
      <c r="D9" s="4" t="s">
        <v>24</v>
      </c>
      <c r="E9" s="4" t="s">
        <v>12</v>
      </c>
      <c r="F9" s="4" t="s">
        <v>13</v>
      </c>
      <c r="G9" s="2">
        <v>1</v>
      </c>
      <c r="H9" s="2">
        <v>80000</v>
      </c>
      <c r="I9" s="2">
        <v>66000</v>
      </c>
      <c r="J9" s="2">
        <f>SalesData[[#This Row],[Revenue]]-SalesData[[#This Row],[Cost]]</f>
        <v>14000</v>
      </c>
      <c r="K9" s="6">
        <f>SalesData[[#This Row],[Profit]]/SalesData[[#This Row],[Revenue]]</f>
        <v>0.17499999999999999</v>
      </c>
      <c r="L9" s="2">
        <f>SalesData[[#This Row],[Revenue]]/SalesData[[#This Row],[Units]]</f>
        <v>80000</v>
      </c>
    </row>
    <row r="10" spans="1:12" x14ac:dyDescent="0.3">
      <c r="A10" s="4" t="s">
        <v>33</v>
      </c>
      <c r="B10" s="5">
        <v>46099</v>
      </c>
      <c r="C10" s="4" t="s">
        <v>27</v>
      </c>
      <c r="D10" s="4" t="s">
        <v>28</v>
      </c>
      <c r="E10" s="4" t="s">
        <v>17</v>
      </c>
      <c r="F10" s="4" t="s">
        <v>18</v>
      </c>
      <c r="G10" s="2">
        <v>18</v>
      </c>
      <c r="H10" s="2">
        <v>27000</v>
      </c>
      <c r="I10" s="2">
        <v>16200</v>
      </c>
      <c r="J10" s="2">
        <f>SalesData[[#This Row],[Revenue]]-SalesData[[#This Row],[Cost]]</f>
        <v>10800</v>
      </c>
      <c r="K10" s="6">
        <f>SalesData[[#This Row],[Profit]]/SalesData[[#This Row],[Revenue]]</f>
        <v>0.4</v>
      </c>
      <c r="L10" s="2">
        <f>SalesData[[#This Row],[Revenue]]/SalesData[[#This Row],[Units]]</f>
        <v>1500</v>
      </c>
    </row>
    <row r="11" spans="1:12" x14ac:dyDescent="0.3">
      <c r="A11" s="4" t="s">
        <v>34</v>
      </c>
      <c r="B11" s="5">
        <v>46101</v>
      </c>
      <c r="C11" s="4" t="s">
        <v>10</v>
      </c>
      <c r="D11" s="4" t="s">
        <v>20</v>
      </c>
      <c r="E11" s="4" t="s">
        <v>12</v>
      </c>
      <c r="F11" s="4" t="s">
        <v>13</v>
      </c>
      <c r="G11" s="2">
        <v>2</v>
      </c>
      <c r="H11" s="2">
        <v>160000</v>
      </c>
      <c r="I11" s="2">
        <v>132000</v>
      </c>
      <c r="J11" s="2">
        <f>SalesData[[#This Row],[Revenue]]-SalesData[[#This Row],[Cost]]</f>
        <v>28000</v>
      </c>
      <c r="K11" s="6">
        <f>SalesData[[#This Row],[Profit]]/SalesData[[#This Row],[Revenue]]</f>
        <v>0.17499999999999999</v>
      </c>
      <c r="L11" s="2">
        <f>SalesData[[#This Row],[Revenue]]/SalesData[[#This Row],[Units]]</f>
        <v>80000</v>
      </c>
    </row>
    <row r="12" spans="1:12" x14ac:dyDescent="0.3">
      <c r="A12" s="4" t="s">
        <v>35</v>
      </c>
      <c r="B12" s="5">
        <v>46103</v>
      </c>
      <c r="C12" s="4" t="s">
        <v>15</v>
      </c>
      <c r="D12" s="4" t="s">
        <v>16</v>
      </c>
      <c r="E12" s="4" t="s">
        <v>17</v>
      </c>
      <c r="F12" s="4" t="s">
        <v>25</v>
      </c>
      <c r="G12" s="2">
        <v>10</v>
      </c>
      <c r="H12" s="2">
        <v>30000</v>
      </c>
      <c r="I12" s="2">
        <v>18000</v>
      </c>
      <c r="J12" s="2">
        <f>SalesData[[#This Row],[Revenue]]-SalesData[[#This Row],[Cost]]</f>
        <v>12000</v>
      </c>
      <c r="K12" s="6">
        <f>SalesData[[#This Row],[Profit]]/SalesData[[#This Row],[Revenue]]</f>
        <v>0.4</v>
      </c>
      <c r="L12" s="2">
        <f>SalesData[[#This Row],[Revenue]]/SalesData[[#This Row],[Units]]</f>
        <v>3000</v>
      </c>
    </row>
    <row r="13" spans="1:12" x14ac:dyDescent="0.3">
      <c r="A13" s="4" t="s">
        <v>36</v>
      </c>
      <c r="B13" s="5">
        <v>46105</v>
      </c>
      <c r="C13" s="4" t="s">
        <v>23</v>
      </c>
      <c r="D13" s="4" t="s">
        <v>24</v>
      </c>
      <c r="E13" s="4" t="s">
        <v>12</v>
      </c>
      <c r="F13" s="4" t="s">
        <v>21</v>
      </c>
      <c r="G13" s="2">
        <v>4</v>
      </c>
      <c r="H13" s="2">
        <v>120000</v>
      </c>
      <c r="I13" s="2">
        <v>92000</v>
      </c>
      <c r="J13" s="2">
        <f>SalesData[[#This Row],[Revenue]]-SalesData[[#This Row],[Cost]]</f>
        <v>28000</v>
      </c>
      <c r="K13" s="6">
        <f>SalesData[[#This Row],[Profit]]/SalesData[[#This Row],[Revenue]]</f>
        <v>0.23333333333333334</v>
      </c>
      <c r="L13" s="2">
        <f>SalesData[[#This Row],[Revenue]]/SalesData[[#This Row],[Units]]</f>
        <v>30000</v>
      </c>
    </row>
    <row r="14" spans="1:12" x14ac:dyDescent="0.3">
      <c r="A14" s="4" t="s">
        <v>37</v>
      </c>
      <c r="B14" s="5">
        <v>46107</v>
      </c>
      <c r="C14" s="4" t="s">
        <v>10</v>
      </c>
      <c r="D14" s="4" t="s">
        <v>11</v>
      </c>
      <c r="E14" s="4" t="s">
        <v>17</v>
      </c>
      <c r="F14" s="4" t="s">
        <v>29</v>
      </c>
      <c r="G14" s="2">
        <v>8</v>
      </c>
      <c r="H14" s="2">
        <v>48000</v>
      </c>
      <c r="I14" s="2">
        <v>32000</v>
      </c>
      <c r="J14" s="2">
        <f>SalesData[[#This Row],[Revenue]]-SalesData[[#This Row],[Cost]]</f>
        <v>16000</v>
      </c>
      <c r="K14" s="6">
        <f>SalesData[[#This Row],[Profit]]/SalesData[[#This Row],[Revenue]]</f>
        <v>0.33333333333333331</v>
      </c>
      <c r="L14" s="2">
        <f>SalesData[[#This Row],[Revenue]]/SalesData[[#This Row],[Units]]</f>
        <v>6000</v>
      </c>
    </row>
    <row r="15" spans="1:12" x14ac:dyDescent="0.3">
      <c r="A15" s="4" t="s">
        <v>38</v>
      </c>
      <c r="B15" s="5">
        <v>46109</v>
      </c>
      <c r="C15" s="4" t="s">
        <v>27</v>
      </c>
      <c r="D15" s="4" t="s">
        <v>28</v>
      </c>
      <c r="E15" s="4" t="s">
        <v>12</v>
      </c>
      <c r="F15" s="4" t="s">
        <v>13</v>
      </c>
      <c r="G15" s="2">
        <v>1</v>
      </c>
      <c r="H15" s="2">
        <v>80000</v>
      </c>
      <c r="I15" s="2">
        <v>66000</v>
      </c>
      <c r="J15" s="2">
        <f>SalesData[[#This Row],[Revenue]]-SalesData[[#This Row],[Cost]]</f>
        <v>14000</v>
      </c>
      <c r="K15" s="6">
        <f>SalesData[[#This Row],[Profit]]/SalesData[[#This Row],[Revenue]]</f>
        <v>0.17499999999999999</v>
      </c>
      <c r="L15" s="2">
        <f>SalesData[[#This Row],[Revenue]]/SalesData[[#This Row],[Units]]</f>
        <v>80000</v>
      </c>
    </row>
    <row r="16" spans="1:12" x14ac:dyDescent="0.3">
      <c r="A16" s="4" t="s">
        <v>39</v>
      </c>
      <c r="B16" s="5">
        <v>46111</v>
      </c>
      <c r="C16" s="4" t="s">
        <v>10</v>
      </c>
      <c r="D16" s="4" t="s">
        <v>20</v>
      </c>
      <c r="E16" s="4" t="s">
        <v>12</v>
      </c>
      <c r="F16" s="4" t="s">
        <v>21</v>
      </c>
      <c r="G16" s="2">
        <v>5</v>
      </c>
      <c r="H16" s="2">
        <v>150000</v>
      </c>
      <c r="I16" s="2">
        <v>115000</v>
      </c>
      <c r="J16" s="2">
        <f>SalesData[[#This Row],[Revenue]]-SalesData[[#This Row],[Cost]]</f>
        <v>35000</v>
      </c>
      <c r="K16" s="6">
        <f>SalesData[[#This Row],[Profit]]/SalesData[[#This Row],[Revenue]]</f>
        <v>0.23333333333333334</v>
      </c>
      <c r="L16" s="2">
        <f>SalesData[[#This Row],[Revenue]]/SalesData[[#This Row],[Units]]</f>
        <v>30000</v>
      </c>
    </row>
    <row r="17" spans="1:12" x14ac:dyDescent="0.3">
      <c r="A17" s="4" t="s">
        <v>40</v>
      </c>
      <c r="B17" s="5">
        <v>46114</v>
      </c>
      <c r="C17" s="4" t="s">
        <v>10</v>
      </c>
      <c r="D17" s="4" t="s">
        <v>11</v>
      </c>
      <c r="E17" s="4" t="s">
        <v>12</v>
      </c>
      <c r="F17" s="4" t="s">
        <v>21</v>
      </c>
      <c r="G17" s="2">
        <v>2</v>
      </c>
      <c r="H17" s="2">
        <v>60000</v>
      </c>
      <c r="I17" s="2">
        <v>46000</v>
      </c>
      <c r="J17" s="2">
        <f>SalesData[[#This Row],[Revenue]]-SalesData[[#This Row],[Cost]]</f>
        <v>14000</v>
      </c>
      <c r="K17" s="6">
        <f>SalesData[[#This Row],[Profit]]/SalesData[[#This Row],[Revenue]]</f>
        <v>0.23333333333333334</v>
      </c>
      <c r="L17" s="2">
        <f>SalesData[[#This Row],[Revenue]]/SalesData[[#This Row],[Units]]</f>
        <v>30000</v>
      </c>
    </row>
    <row r="18" spans="1:12" x14ac:dyDescent="0.3">
      <c r="A18" s="4" t="s">
        <v>41</v>
      </c>
      <c r="B18" s="5">
        <v>46116</v>
      </c>
      <c r="C18" s="4" t="s">
        <v>15</v>
      </c>
      <c r="D18" s="4" t="s">
        <v>16</v>
      </c>
      <c r="E18" s="4" t="s">
        <v>17</v>
      </c>
      <c r="F18" s="4" t="s">
        <v>18</v>
      </c>
      <c r="G18" s="2">
        <v>20</v>
      </c>
      <c r="H18" s="2">
        <v>30000</v>
      </c>
      <c r="I18" s="2">
        <v>18000</v>
      </c>
      <c r="J18" s="2">
        <f>SalesData[[#This Row],[Revenue]]-SalesData[[#This Row],[Cost]]</f>
        <v>12000</v>
      </c>
      <c r="K18" s="6">
        <f>SalesData[[#This Row],[Profit]]/SalesData[[#This Row],[Revenue]]</f>
        <v>0.4</v>
      </c>
      <c r="L18" s="2">
        <f>SalesData[[#This Row],[Revenue]]/SalesData[[#This Row],[Units]]</f>
        <v>1500</v>
      </c>
    </row>
    <row r="19" spans="1:12" x14ac:dyDescent="0.3">
      <c r="A19" s="4" t="s">
        <v>42</v>
      </c>
      <c r="B19" s="5">
        <v>46119</v>
      </c>
      <c r="C19" s="4" t="s">
        <v>23</v>
      </c>
      <c r="D19" s="4" t="s">
        <v>24</v>
      </c>
      <c r="E19" s="4" t="s">
        <v>12</v>
      </c>
      <c r="F19" s="4" t="s">
        <v>13</v>
      </c>
      <c r="G19" s="2">
        <v>2</v>
      </c>
      <c r="H19" s="2">
        <v>160000</v>
      </c>
      <c r="I19" s="2">
        <v>132000</v>
      </c>
      <c r="J19" s="2">
        <f>SalesData[[#This Row],[Revenue]]-SalesData[[#This Row],[Cost]]</f>
        <v>28000</v>
      </c>
      <c r="K19" s="6">
        <f>SalesData[[#This Row],[Profit]]/SalesData[[#This Row],[Revenue]]</f>
        <v>0.17499999999999999</v>
      </c>
      <c r="L19" s="2">
        <f>SalesData[[#This Row],[Revenue]]/SalesData[[#This Row],[Units]]</f>
        <v>80000</v>
      </c>
    </row>
    <row r="20" spans="1:12" x14ac:dyDescent="0.3">
      <c r="A20" s="4" t="s">
        <v>43</v>
      </c>
      <c r="B20" s="5">
        <v>46122</v>
      </c>
      <c r="C20" s="4" t="s">
        <v>27</v>
      </c>
      <c r="D20" s="4" t="s">
        <v>28</v>
      </c>
      <c r="E20" s="4" t="s">
        <v>17</v>
      </c>
      <c r="F20" s="4" t="s">
        <v>25</v>
      </c>
      <c r="G20" s="2">
        <v>12</v>
      </c>
      <c r="H20" s="2">
        <v>36000</v>
      </c>
      <c r="I20" s="2">
        <v>21600</v>
      </c>
      <c r="J20" s="2">
        <f>SalesData[[#This Row],[Revenue]]-SalesData[[#This Row],[Cost]]</f>
        <v>14400</v>
      </c>
      <c r="K20" s="6">
        <f>SalesData[[#This Row],[Profit]]/SalesData[[#This Row],[Revenue]]</f>
        <v>0.4</v>
      </c>
      <c r="L20" s="2">
        <f>SalesData[[#This Row],[Revenue]]/SalesData[[#This Row],[Units]]</f>
        <v>3000</v>
      </c>
    </row>
    <row r="21" spans="1:12" x14ac:dyDescent="0.3">
      <c r="A21" s="4" t="s">
        <v>44</v>
      </c>
      <c r="B21" s="5">
        <v>46124</v>
      </c>
      <c r="C21" s="4" t="s">
        <v>10</v>
      </c>
      <c r="D21" s="4" t="s">
        <v>20</v>
      </c>
      <c r="E21" s="4" t="s">
        <v>12</v>
      </c>
      <c r="F21" s="4" t="s">
        <v>13</v>
      </c>
      <c r="G21" s="2">
        <v>3</v>
      </c>
      <c r="H21" s="2">
        <v>240000</v>
      </c>
      <c r="I21" s="2">
        <v>198000</v>
      </c>
      <c r="J21" s="2">
        <f>SalesData[[#This Row],[Revenue]]-SalesData[[#This Row],[Cost]]</f>
        <v>42000</v>
      </c>
      <c r="K21" s="6">
        <f>SalesData[[#This Row],[Profit]]/SalesData[[#This Row],[Revenue]]</f>
        <v>0.17499999999999999</v>
      </c>
      <c r="L21" s="2">
        <f>SalesData[[#This Row],[Revenue]]/SalesData[[#This Row],[Units]]</f>
        <v>80000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4514D-5DCF-4A48-92C0-635B0C04666E}">
  <dimension ref="A1:S26"/>
  <sheetViews>
    <sheetView workbookViewId="0">
      <selection activeCell="K1" sqref="K1:N5"/>
    </sheetView>
  </sheetViews>
  <sheetFormatPr defaultRowHeight="14.4" x14ac:dyDescent="0.3"/>
  <cols>
    <col min="1" max="1" width="18.21875" customWidth="1"/>
    <col min="2" max="2" width="10.5546875" bestFit="1" customWidth="1"/>
    <col min="3" max="3" width="41.33203125" customWidth="1"/>
    <col min="4" max="4" width="21.88671875" customWidth="1"/>
    <col min="6" max="6" width="12.6640625" customWidth="1"/>
    <col min="8" max="9" width="15.33203125" customWidth="1"/>
    <col min="10" max="10" width="18.6640625" customWidth="1"/>
    <col min="11" max="11" width="12.88671875" customWidth="1"/>
    <col min="14" max="14" width="13.5546875" customWidth="1"/>
    <col min="15" max="15" width="16.109375" customWidth="1"/>
    <col min="19" max="19" width="12.5546875" customWidth="1"/>
  </cols>
  <sheetData>
    <row r="1" spans="1:19" ht="28.8" x14ac:dyDescent="0.3">
      <c r="A1" s="1" t="s">
        <v>48</v>
      </c>
      <c r="B1" s="3" t="s">
        <v>49</v>
      </c>
      <c r="D1" s="1" t="s">
        <v>3</v>
      </c>
      <c r="E1" s="3" t="s">
        <v>7</v>
      </c>
      <c r="F1" s="3" t="s">
        <v>57</v>
      </c>
      <c r="G1" s="3" t="s">
        <v>45</v>
      </c>
      <c r="H1" s="3" t="s">
        <v>46</v>
      </c>
      <c r="I1" s="3" t="s">
        <v>60</v>
      </c>
      <c r="K1" s="1" t="s">
        <v>2</v>
      </c>
      <c r="L1" s="3" t="s">
        <v>7</v>
      </c>
      <c r="M1" s="3" t="s">
        <v>45</v>
      </c>
      <c r="N1" s="3" t="s">
        <v>46</v>
      </c>
      <c r="P1" s="1" t="s">
        <v>61</v>
      </c>
      <c r="Q1" s="3" t="s">
        <v>7</v>
      </c>
      <c r="R1" s="3" t="s">
        <v>45</v>
      </c>
      <c r="S1" s="3" t="s">
        <v>46</v>
      </c>
    </row>
    <row r="2" spans="1:19" x14ac:dyDescent="0.3">
      <c r="A2" s="4" t="s">
        <v>50</v>
      </c>
      <c r="B2" s="2">
        <f>SUM(Datasheet!H:H)</f>
        <v>1677000</v>
      </c>
      <c r="D2" s="4" t="s">
        <v>11</v>
      </c>
      <c r="E2" s="2">
        <f>SUMIFS(Datasheet!$H:$H,Datasheet!$D:$D,Analysis!D2)</f>
        <v>348000</v>
      </c>
      <c r="F2" s="6">
        <f>E2/$B$2</f>
        <v>0.2075134168157424</v>
      </c>
      <c r="G2" s="2">
        <f>SUMIFS(Datasheet!$J:$J,Datasheet!$D:$D,Analysis!D2)</f>
        <v>72000</v>
      </c>
      <c r="H2" s="6">
        <f>G2/E2</f>
        <v>0.20689655172413793</v>
      </c>
      <c r="I2" s="6" t="str">
        <f>IF(H2&lt;25%,"Review","Healthy")</f>
        <v>Review</v>
      </c>
      <c r="K2" s="4" t="s">
        <v>10</v>
      </c>
      <c r="L2" s="2">
        <f>SUMIFS(Datasheet!$H:$H,Datasheet!$C:$C,Analysis!K2)</f>
        <v>988000</v>
      </c>
      <c r="M2" s="2">
        <f>SUMIFS(Datasheet!$J:$J,Datasheet!$C:$C,Analysis!K2)</f>
        <v>198000</v>
      </c>
      <c r="N2" s="6">
        <f>M2/L2</f>
        <v>0.20040485829959515</v>
      </c>
      <c r="P2" s="4" t="s">
        <v>62</v>
      </c>
      <c r="Q2" s="2">
        <f>SUMIFS(SalesData[Revenue],SalesData[Date],"&gt;="&amp;DATE(2026,3,1),SalesData[Date],"&lt;"&amp;DATE(2026,4,1))</f>
        <v>1151000</v>
      </c>
      <c r="R2" s="2">
        <f>SUMIFS(SalesData[Profit],SalesData[Date],"&gt;="&amp;DATE(2026,3,1),SalesData[Date],"&lt;"&amp;DATE(2026,4,1))</f>
        <v>259200</v>
      </c>
      <c r="S2" s="6">
        <f>R2/Q2</f>
        <v>0.22519548218940053</v>
      </c>
    </row>
    <row r="3" spans="1:19" x14ac:dyDescent="0.3">
      <c r="A3" s="4" t="s">
        <v>51</v>
      </c>
      <c r="B3" s="2">
        <f>SUM(Datasheet!I:I)</f>
        <v>1307400</v>
      </c>
      <c r="D3" s="4" t="s">
        <v>16</v>
      </c>
      <c r="E3" s="2">
        <f>SUMIFS(Datasheet!$H:$H,Datasheet!$D:$D,Analysis!D3)</f>
        <v>138000</v>
      </c>
      <c r="F3" s="6">
        <f>E3/$B$2</f>
        <v>8.2289803220035776E-2</v>
      </c>
      <c r="G3" s="2">
        <f>SUMIFS(Datasheet!$J:$J,Datasheet!$D:$D,Analysis!D3)</f>
        <v>45200</v>
      </c>
      <c r="H3" s="6">
        <f>G3/E3</f>
        <v>0.32753623188405795</v>
      </c>
      <c r="I3" s="6" t="str">
        <f t="shared" ref="I3:I6" si="0">IF(H3&lt;25%,"Review","Healthy")</f>
        <v>Healthy</v>
      </c>
      <c r="K3" s="4" t="s">
        <v>15</v>
      </c>
      <c r="L3" s="2">
        <f>SUMIFS(Datasheet!$H:$H,Datasheet!$C:$C,Analysis!K3)</f>
        <v>138000</v>
      </c>
      <c r="M3" s="2">
        <f>SUMIFS(Datasheet!$J:$J,Datasheet!$C:$C,Analysis!K3)</f>
        <v>45200</v>
      </c>
      <c r="N3" s="6">
        <f t="shared" ref="N3:N5" si="1">M3/L3</f>
        <v>0.32753623188405795</v>
      </c>
      <c r="P3" s="4" t="s">
        <v>63</v>
      </c>
      <c r="Q3" s="2">
        <f>SUMIFS(SalesData[Revenue],SalesData[Date],"&gt;="&amp;DATE(2026,4,1),SalesData[Date],"&lt;"&amp;DATE(2026,5,1))</f>
        <v>526000</v>
      </c>
      <c r="R3" s="2">
        <f>SUMIFS(SalesData[Profit],SalesData[Date],"&gt;="&amp;DATE(2026,4,1),SalesData[Date],"&lt;"&amp;DATE(2026,5,1))</f>
        <v>110400</v>
      </c>
      <c r="S3" s="6">
        <f>R3/Q3</f>
        <v>0.20988593155893537</v>
      </c>
    </row>
    <row r="4" spans="1:19" x14ac:dyDescent="0.3">
      <c r="A4" s="4" t="s">
        <v>52</v>
      </c>
      <c r="B4" s="2">
        <f>SUM(Datasheet!J:J)</f>
        <v>369600</v>
      </c>
      <c r="D4" s="4" t="s">
        <v>20</v>
      </c>
      <c r="E4" s="2">
        <f>SUMIFS(Datasheet!$H:$H,Datasheet!$D:$D,Analysis!D4)</f>
        <v>640000</v>
      </c>
      <c r="F4" s="6">
        <f>E4/$B$2</f>
        <v>0.38163387000596305</v>
      </c>
      <c r="G4" s="2">
        <f>SUMIFS(Datasheet!$J:$J,Datasheet!$D:$D,Analysis!D4)</f>
        <v>126000</v>
      </c>
      <c r="H4" s="6">
        <f>G4/E4</f>
        <v>0.19687499999999999</v>
      </c>
      <c r="I4" s="6" t="str">
        <f t="shared" si="0"/>
        <v>Review</v>
      </c>
      <c r="K4" s="4" t="s">
        <v>23</v>
      </c>
      <c r="L4" s="2">
        <f>SUMIFS(Datasheet!$H:$H,Datasheet!$C:$C,Analysis!K4)</f>
        <v>378000</v>
      </c>
      <c r="M4" s="2">
        <f>SUMIFS(Datasheet!$J:$J,Datasheet!$C:$C,Analysis!K4)</f>
        <v>77200</v>
      </c>
      <c r="N4" s="6">
        <f t="shared" si="1"/>
        <v>0.20423280423280424</v>
      </c>
    </row>
    <row r="5" spans="1:19" x14ac:dyDescent="0.3">
      <c r="A5" s="4" t="s">
        <v>53</v>
      </c>
      <c r="B5" s="2">
        <f>SUM(Datasheet!G:G)</f>
        <v>119</v>
      </c>
      <c r="D5" s="4" t="s">
        <v>24</v>
      </c>
      <c r="E5" s="2">
        <f>SUMIFS(Datasheet!$H:$H,Datasheet!$D:$D,Analysis!D5)</f>
        <v>378000</v>
      </c>
      <c r="F5" s="6">
        <f>E5/$B$2</f>
        <v>0.22540250447227192</v>
      </c>
      <c r="G5" s="2">
        <f>SUMIFS(Datasheet!$J:$J,Datasheet!$D:$D,Analysis!D5)</f>
        <v>77200</v>
      </c>
      <c r="H5" s="6">
        <f>G5/E5</f>
        <v>0.20423280423280424</v>
      </c>
      <c r="I5" s="6" t="str">
        <f t="shared" si="0"/>
        <v>Review</v>
      </c>
      <c r="K5" s="4" t="s">
        <v>27</v>
      </c>
      <c r="L5" s="2">
        <f>SUMIFS(Datasheet!$H:$H,Datasheet!$C:$C,Analysis!K5)</f>
        <v>173000</v>
      </c>
      <c r="M5" s="2">
        <f>SUMIFS(Datasheet!$J:$J,Datasheet!$C:$C,Analysis!K5)</f>
        <v>49200</v>
      </c>
      <c r="N5" s="6">
        <f t="shared" si="1"/>
        <v>0.28439306358381505</v>
      </c>
    </row>
    <row r="6" spans="1:19" x14ac:dyDescent="0.3">
      <c r="A6" s="4" t="s">
        <v>54</v>
      </c>
      <c r="B6" s="6">
        <f>SUM(Datasheet!J:J)/SUM(Datasheet!H:H)</f>
        <v>0.22039355992844364</v>
      </c>
      <c r="D6" s="4" t="s">
        <v>28</v>
      </c>
      <c r="E6" s="2">
        <f>SUMIFS(Datasheet!$H:$H,Datasheet!$D:$D,Analysis!D6)</f>
        <v>173000</v>
      </c>
      <c r="F6" s="6">
        <f>E6/$B$2</f>
        <v>0.10316040548598689</v>
      </c>
      <c r="G6" s="2">
        <f>SUMIFS(Datasheet!$J:$J,Datasheet!$D:$D,Analysis!D6)</f>
        <v>49200</v>
      </c>
      <c r="H6" s="6">
        <f>G6/E6</f>
        <v>0.28439306358381505</v>
      </c>
      <c r="I6" s="6" t="str">
        <f t="shared" si="0"/>
        <v>Healthy</v>
      </c>
    </row>
    <row r="7" spans="1:19" x14ac:dyDescent="0.3">
      <c r="A7" s="4" t="s">
        <v>55</v>
      </c>
      <c r="B7" s="2">
        <f>AVERAGE(Datasheet!H:H)</f>
        <v>83850</v>
      </c>
    </row>
    <row r="8" spans="1:19" x14ac:dyDescent="0.3">
      <c r="A8" s="4" t="s">
        <v>56</v>
      </c>
      <c r="B8" s="2">
        <f>COUNTA(SalesData[Order ID])</f>
        <v>20</v>
      </c>
    </row>
    <row r="14" spans="1:19" x14ac:dyDescent="0.3">
      <c r="A14" t="s">
        <v>58</v>
      </c>
      <c r="D14" t="str">
        <f>INDEX(D2:D6,MATCH(MAX(E2:E6),E2:E6,0))</f>
        <v>Priya</v>
      </c>
    </row>
    <row r="15" spans="1:19" x14ac:dyDescent="0.3">
      <c r="A15" t="s">
        <v>59</v>
      </c>
      <c r="D15" s="7">
        <f>MAX(E2:E6)/B2</f>
        <v>0.38163387000596305</v>
      </c>
    </row>
    <row r="16" spans="1:19" x14ac:dyDescent="0.3">
      <c r="A16" t="s">
        <v>64</v>
      </c>
      <c r="D16" s="7">
        <f>(Q3-Q2)/Q2</f>
        <v>-0.5430060816681147</v>
      </c>
    </row>
    <row r="17" spans="1:4" x14ac:dyDescent="0.3">
      <c r="A17" t="s">
        <v>65</v>
      </c>
      <c r="D17" t="str">
        <f>INDEX(K2:K5,MATCH(MAX(L2:L5),L2:L5,0))</f>
        <v>Kathmandu</v>
      </c>
    </row>
    <row r="18" spans="1:4" x14ac:dyDescent="0.3">
      <c r="A18" t="s">
        <v>66</v>
      </c>
      <c r="D18" t="str">
        <f>INDEX(K2:K5,MATCH(MAX(N2:N5),N2:N5,0))</f>
        <v>Lalitpur</v>
      </c>
    </row>
    <row r="19" spans="1:4" x14ac:dyDescent="0.3">
      <c r="A19" t="s">
        <v>67</v>
      </c>
      <c r="D19" t="s">
        <v>74</v>
      </c>
    </row>
    <row r="20" spans="1:4" x14ac:dyDescent="0.3">
      <c r="A20" t="s">
        <v>68</v>
      </c>
      <c r="D20" t="s">
        <v>75</v>
      </c>
    </row>
    <row r="22" spans="1:4" x14ac:dyDescent="0.3">
      <c r="A22" t="s">
        <v>69</v>
      </c>
    </row>
    <row r="23" spans="1:4" ht="25.2" customHeight="1" x14ac:dyDescent="0.3">
      <c r="A23" t="s">
        <v>71</v>
      </c>
    </row>
    <row r="24" spans="1:4" x14ac:dyDescent="0.3">
      <c r="A24" t="s">
        <v>72</v>
      </c>
    </row>
    <row r="25" spans="1:4" x14ac:dyDescent="0.3">
      <c r="A25" t="s">
        <v>70</v>
      </c>
    </row>
    <row r="26" spans="1:4" x14ac:dyDescent="0.3">
      <c r="A26" t="s">
        <v>73</v>
      </c>
    </row>
  </sheetData>
  <sortState xmlns:xlrd2="http://schemas.microsoft.com/office/spreadsheetml/2017/richdata2" ref="D2:H6">
    <sortCondition descending="1" ref="E2:E6"/>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F25C1-E3AC-439B-BEB1-7D18A97311EA}">
  <dimension ref="A7:W45"/>
  <sheetViews>
    <sheetView zoomScale="74" workbookViewId="0">
      <selection activeCell="A45" sqref="A45"/>
    </sheetView>
  </sheetViews>
  <sheetFormatPr defaultRowHeight="14.4" x14ac:dyDescent="0.3"/>
  <cols>
    <col min="1" max="1" width="12.5546875" bestFit="1" customWidth="1"/>
    <col min="2" max="2" width="14.88671875" bestFit="1" customWidth="1"/>
    <col min="3" max="3" width="12.77734375" customWidth="1"/>
    <col min="4" max="4" width="11.6640625" bestFit="1" customWidth="1"/>
    <col min="6" max="6" width="13.88671875" bestFit="1" customWidth="1"/>
    <col min="7" max="7" width="15.5546875" bestFit="1" customWidth="1"/>
    <col min="8" max="8" width="12.44140625" bestFit="1" customWidth="1"/>
    <col min="9" max="9" width="12.21875" bestFit="1" customWidth="1"/>
    <col min="11" max="11" width="13.88671875" bestFit="1" customWidth="1"/>
    <col min="12" max="12" width="15.5546875" bestFit="1" customWidth="1"/>
    <col min="13" max="13" width="12.44140625" bestFit="1" customWidth="1"/>
    <col min="14" max="14" width="12.21875" bestFit="1" customWidth="1"/>
    <col min="16" max="16" width="13.88671875" bestFit="1" customWidth="1"/>
    <col min="17" max="17" width="15.5546875" bestFit="1" customWidth="1"/>
    <col min="18" max="18" width="12.44140625" bestFit="1" customWidth="1"/>
    <col min="19" max="19" width="12.21875" bestFit="1" customWidth="1"/>
    <col min="21" max="21" width="13.88671875" bestFit="1" customWidth="1"/>
    <col min="22" max="22" width="15.5546875" bestFit="1" customWidth="1"/>
    <col min="23" max="23" width="12.44140625" bestFit="1" customWidth="1"/>
  </cols>
  <sheetData>
    <row r="7" spans="1:23" x14ac:dyDescent="0.3">
      <c r="A7" s="8" t="s">
        <v>76</v>
      </c>
      <c r="B7" t="s">
        <v>78</v>
      </c>
      <c r="C7" t="s">
        <v>79</v>
      </c>
      <c r="D7" t="s">
        <v>46</v>
      </c>
      <c r="F7" s="8" t="s">
        <v>76</v>
      </c>
      <c r="G7" t="s">
        <v>78</v>
      </c>
      <c r="H7" t="s">
        <v>79</v>
      </c>
      <c r="I7" t="s">
        <v>80</v>
      </c>
      <c r="K7" s="8" t="s">
        <v>76</v>
      </c>
      <c r="L7" t="s">
        <v>78</v>
      </c>
      <c r="M7" t="s">
        <v>79</v>
      </c>
      <c r="N7" t="s">
        <v>80</v>
      </c>
      <c r="P7" s="8" t="s">
        <v>76</v>
      </c>
      <c r="Q7" t="s">
        <v>78</v>
      </c>
      <c r="R7" t="s">
        <v>79</v>
      </c>
      <c r="S7" t="s">
        <v>80</v>
      </c>
      <c r="U7" s="8" t="s">
        <v>76</v>
      </c>
      <c r="V7" t="s">
        <v>78</v>
      </c>
      <c r="W7" t="s">
        <v>79</v>
      </c>
    </row>
    <row r="8" spans="1:23" x14ac:dyDescent="0.3">
      <c r="A8" s="9" t="s">
        <v>10</v>
      </c>
      <c r="B8">
        <v>988000</v>
      </c>
      <c r="C8">
        <v>198000</v>
      </c>
      <c r="D8" s="7">
        <f>GETPIVOTDATA("Sum of Profit",$A$7,"Region","Kathmandu")/GETPIVOTDATA("Sum of Revenue",$A$7,"Region","Kathmandu")</f>
        <v>0.20040485829959515</v>
      </c>
      <c r="F8" s="9" t="s">
        <v>20</v>
      </c>
      <c r="G8">
        <v>640000</v>
      </c>
      <c r="H8">
        <v>126000</v>
      </c>
      <c r="I8">
        <v>13</v>
      </c>
      <c r="K8" s="9" t="s">
        <v>17</v>
      </c>
      <c r="L8">
        <v>207000</v>
      </c>
      <c r="M8">
        <v>79600</v>
      </c>
      <c r="N8">
        <v>86</v>
      </c>
      <c r="P8" s="9" t="s">
        <v>13</v>
      </c>
      <c r="Q8">
        <v>960000</v>
      </c>
      <c r="R8">
        <v>168000</v>
      </c>
      <c r="S8">
        <v>12</v>
      </c>
      <c r="U8" s="9" t="s">
        <v>83</v>
      </c>
      <c r="V8">
        <v>1677000</v>
      </c>
      <c r="W8">
        <v>369600</v>
      </c>
    </row>
    <row r="9" spans="1:23" x14ac:dyDescent="0.3">
      <c r="A9" s="9" t="s">
        <v>23</v>
      </c>
      <c r="B9">
        <v>378000</v>
      </c>
      <c r="C9">
        <v>77200</v>
      </c>
      <c r="D9" s="7">
        <f>GETPIVOTDATA("Sum of Profit",$A$7,"Region","Pokhara")/GETPIVOTDATA("Sum of Revenue",$A$7,"Region","Pokhara")</f>
        <v>0.20423280423280424</v>
      </c>
      <c r="F9" s="9" t="s">
        <v>24</v>
      </c>
      <c r="G9">
        <v>378000</v>
      </c>
      <c r="H9">
        <v>77200</v>
      </c>
      <c r="I9">
        <v>13</v>
      </c>
      <c r="K9" s="9" t="s">
        <v>12</v>
      </c>
      <c r="L9">
        <v>1470000</v>
      </c>
      <c r="M9">
        <v>290000</v>
      </c>
      <c r="N9">
        <v>33</v>
      </c>
      <c r="P9" s="9" t="s">
        <v>21</v>
      </c>
      <c r="Q9">
        <v>480000</v>
      </c>
      <c r="R9">
        <v>112000</v>
      </c>
      <c r="S9">
        <v>16</v>
      </c>
      <c r="U9" s="10" t="s">
        <v>81</v>
      </c>
      <c r="V9">
        <v>1151000</v>
      </c>
      <c r="W9">
        <v>259200</v>
      </c>
    </row>
    <row r="10" spans="1:23" x14ac:dyDescent="0.3">
      <c r="A10" s="9" t="s">
        <v>27</v>
      </c>
      <c r="B10">
        <v>173000</v>
      </c>
      <c r="C10">
        <v>49200</v>
      </c>
      <c r="D10" s="7">
        <f>GETPIVOTDATA("Sum of Profit",$A$7,"Region","Bharatpur")/GETPIVOTDATA("Sum of Revenue",$A$7,"Region","Bharatpur")</f>
        <v>0.28439306358381505</v>
      </c>
      <c r="F10" s="9" t="s">
        <v>11</v>
      </c>
      <c r="G10">
        <v>348000</v>
      </c>
      <c r="H10">
        <v>72000</v>
      </c>
      <c r="I10">
        <v>13</v>
      </c>
      <c r="K10" s="9" t="s">
        <v>77</v>
      </c>
      <c r="L10">
        <v>1677000</v>
      </c>
      <c r="M10">
        <v>369600</v>
      </c>
      <c r="N10">
        <v>119</v>
      </c>
      <c r="P10" s="9" t="s">
        <v>25</v>
      </c>
      <c r="Q10">
        <v>84000</v>
      </c>
      <c r="R10">
        <v>33600</v>
      </c>
      <c r="S10">
        <v>28</v>
      </c>
      <c r="U10" s="10" t="s">
        <v>82</v>
      </c>
      <c r="V10">
        <v>526000</v>
      </c>
      <c r="W10">
        <v>110400</v>
      </c>
    </row>
    <row r="11" spans="1:23" x14ac:dyDescent="0.3">
      <c r="A11" s="9" t="s">
        <v>15</v>
      </c>
      <c r="B11">
        <v>138000</v>
      </c>
      <c r="C11">
        <v>45200</v>
      </c>
      <c r="D11" s="7">
        <f>GETPIVOTDATA("Sum of Profit",$A$7,"Region","Lalitpur")/GETPIVOTDATA("Sum of Revenue",$A$7,"Region","Lalitpur")</f>
        <v>0.32753623188405795</v>
      </c>
      <c r="F11" s="9" t="s">
        <v>28</v>
      </c>
      <c r="G11">
        <v>173000</v>
      </c>
      <c r="H11">
        <v>49200</v>
      </c>
      <c r="I11">
        <v>36</v>
      </c>
      <c r="P11" s="9" t="s">
        <v>29</v>
      </c>
      <c r="Q11">
        <v>78000</v>
      </c>
      <c r="R11">
        <v>26000</v>
      </c>
      <c r="S11">
        <v>13</v>
      </c>
      <c r="U11" s="9" t="s">
        <v>77</v>
      </c>
      <c r="V11">
        <v>1677000</v>
      </c>
      <c r="W11">
        <v>369600</v>
      </c>
    </row>
    <row r="12" spans="1:23" x14ac:dyDescent="0.3">
      <c r="A12" s="9" t="s">
        <v>77</v>
      </c>
      <c r="B12">
        <v>1677000</v>
      </c>
      <c r="C12">
        <v>369600</v>
      </c>
      <c r="F12" s="9" t="s">
        <v>16</v>
      </c>
      <c r="G12">
        <v>138000</v>
      </c>
      <c r="H12">
        <v>45200</v>
      </c>
      <c r="I12">
        <v>44</v>
      </c>
      <c r="P12" s="9" t="s">
        <v>18</v>
      </c>
      <c r="Q12">
        <v>75000</v>
      </c>
      <c r="R12">
        <v>30000</v>
      </c>
      <c r="S12">
        <v>50</v>
      </c>
    </row>
    <row r="13" spans="1:23" x14ac:dyDescent="0.3">
      <c r="F13" s="9" t="s">
        <v>77</v>
      </c>
      <c r="G13">
        <v>1677000</v>
      </c>
      <c r="H13">
        <v>369600</v>
      </c>
      <c r="I13">
        <v>119</v>
      </c>
      <c r="P13" s="9" t="s">
        <v>77</v>
      </c>
      <c r="Q13">
        <v>1677000</v>
      </c>
      <c r="R13">
        <v>369600</v>
      </c>
      <c r="S13">
        <v>119</v>
      </c>
    </row>
    <row r="32" spans="1:6" x14ac:dyDescent="0.3">
      <c r="A32" t="s">
        <v>84</v>
      </c>
      <c r="F32" t="s">
        <v>10</v>
      </c>
    </row>
    <row r="33" spans="1:7" x14ac:dyDescent="0.3">
      <c r="A33" t="s">
        <v>85</v>
      </c>
      <c r="F33" t="s">
        <v>10</v>
      </c>
    </row>
    <row r="34" spans="1:7" x14ac:dyDescent="0.3">
      <c r="A34" t="s">
        <v>66</v>
      </c>
      <c r="F34" t="s">
        <v>15</v>
      </c>
    </row>
    <row r="35" spans="1:7" x14ac:dyDescent="0.3">
      <c r="A35" t="s">
        <v>86</v>
      </c>
      <c r="F35" t="s">
        <v>20</v>
      </c>
    </row>
    <row r="36" spans="1:7" x14ac:dyDescent="0.3">
      <c r="A36" t="s">
        <v>87</v>
      </c>
      <c r="F36" t="s">
        <v>20</v>
      </c>
    </row>
    <row r="37" spans="1:7" x14ac:dyDescent="0.3">
      <c r="A37" t="s">
        <v>88</v>
      </c>
      <c r="F37" t="s">
        <v>12</v>
      </c>
    </row>
    <row r="38" spans="1:7" x14ac:dyDescent="0.3">
      <c r="A38" t="s">
        <v>89</v>
      </c>
      <c r="F38" t="s">
        <v>13</v>
      </c>
    </row>
    <row r="39" spans="1:7" x14ac:dyDescent="0.3">
      <c r="A39" t="s">
        <v>90</v>
      </c>
      <c r="F39" t="s">
        <v>62</v>
      </c>
    </row>
    <row r="40" spans="1:7" x14ac:dyDescent="0.3">
      <c r="A40" t="s">
        <v>91</v>
      </c>
      <c r="F40" s="7">
        <f>(GETPIVOTDATA("Sum of Revenue",$U$7,"Months (Date)",3,"Years (Date)",2026)-GETPIVOTDATA("Sum of Revenue",$U$7,"Months (Date)",4,"Years (Date)",2026))/GETPIVOTDATA("Sum of Revenue",$U$7,"Months (Date)",3,"Years (Date)",2026)</f>
        <v>0.5430060816681147</v>
      </c>
      <c r="G40" t="s">
        <v>93</v>
      </c>
    </row>
    <row r="41" spans="1:7" x14ac:dyDescent="0.3">
      <c r="F41" s="7"/>
    </row>
    <row r="42" spans="1:7" x14ac:dyDescent="0.3">
      <c r="A42" t="s">
        <v>92</v>
      </c>
    </row>
    <row r="43" spans="1:7" x14ac:dyDescent="0.3">
      <c r="A43" t="s">
        <v>72</v>
      </c>
    </row>
    <row r="44" spans="1:7" x14ac:dyDescent="0.3">
      <c r="A44" t="s">
        <v>70</v>
      </c>
    </row>
    <row r="45" spans="1:7" x14ac:dyDescent="0.3">
      <c r="A45" t="s">
        <v>73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62EAD-6E8A-48AA-AB6D-F2826BBD2821}">
  <dimension ref="B1:O34"/>
  <sheetViews>
    <sheetView zoomScale="64" workbookViewId="0">
      <selection activeCell="J40" sqref="J40"/>
    </sheetView>
  </sheetViews>
  <sheetFormatPr defaultRowHeight="14.4" x14ac:dyDescent="0.3"/>
  <cols>
    <col min="1" max="4" width="12.77734375" style="13" customWidth="1"/>
    <col min="5" max="7" width="12.77734375" style="12" customWidth="1"/>
    <col min="8" max="8" width="12.77734375" style="13" customWidth="1"/>
    <col min="9" max="12" width="12.77734375" style="12" customWidth="1"/>
    <col min="13" max="15" width="12.77734375" style="13" customWidth="1"/>
    <col min="16" max="16384" width="8.88671875" style="13"/>
  </cols>
  <sheetData>
    <row r="1" spans="2:15" s="12" customFormat="1" ht="34.950000000000003" customHeight="1" x14ac:dyDescent="0.3">
      <c r="B1" s="53" t="s">
        <v>94</v>
      </c>
      <c r="C1" s="53"/>
      <c r="D1" s="53"/>
      <c r="E1" s="53"/>
      <c r="F1" s="53"/>
      <c r="G1" s="53"/>
      <c r="H1" s="53"/>
      <c r="I1" s="53"/>
      <c r="J1" s="53"/>
      <c r="K1" s="53"/>
      <c r="L1" s="53"/>
      <c r="M1" s="53"/>
      <c r="N1" s="53"/>
      <c r="O1" s="13"/>
    </row>
    <row r="2" spans="2:15" s="12" customFormat="1" ht="18" x14ac:dyDescent="0.35">
      <c r="B2" s="13"/>
      <c r="C2" s="13"/>
      <c r="D2" s="13"/>
      <c r="E2" s="56" t="s">
        <v>95</v>
      </c>
      <c r="F2" s="57"/>
      <c r="G2" s="57"/>
      <c r="H2" s="57"/>
      <c r="I2" s="57"/>
      <c r="J2" s="57"/>
      <c r="K2" s="57"/>
      <c r="L2" s="57"/>
      <c r="M2" s="13"/>
      <c r="N2" s="13"/>
      <c r="O2" s="13"/>
    </row>
    <row r="3" spans="2:15" s="12" customFormat="1" ht="15.6" customHeight="1" thickBot="1" x14ac:dyDescent="0.35">
      <c r="B3" s="13"/>
      <c r="C3" s="13"/>
      <c r="D3" s="13"/>
      <c r="H3" s="13"/>
      <c r="M3" s="13"/>
      <c r="N3" s="13"/>
      <c r="O3" s="13"/>
    </row>
    <row r="4" spans="2:15" s="12" customFormat="1" ht="43.2" customHeight="1" x14ac:dyDescent="0.3">
      <c r="C4" s="58" t="s">
        <v>103</v>
      </c>
      <c r="D4" s="59"/>
      <c r="E4" s="58" t="s">
        <v>50</v>
      </c>
      <c r="F4" s="59"/>
      <c r="G4" s="58" t="s">
        <v>52</v>
      </c>
      <c r="H4" s="59"/>
      <c r="I4" s="58" t="s">
        <v>96</v>
      </c>
      <c r="J4" s="59"/>
      <c r="K4" s="58" t="s">
        <v>97</v>
      </c>
      <c r="L4" s="59"/>
    </row>
    <row r="5" spans="2:15" s="12" customFormat="1" ht="24" customHeight="1" thickBot="1" x14ac:dyDescent="0.35">
      <c r="C5" s="52">
        <f>Analysis!D16</f>
        <v>-0.5430060816681147</v>
      </c>
      <c r="D5" s="51"/>
      <c r="E5" s="48">
        <f>Analysis!B2</f>
        <v>1677000</v>
      </c>
      <c r="F5" s="49"/>
      <c r="G5" s="48">
        <f>Analysis!B4</f>
        <v>369600</v>
      </c>
      <c r="H5" s="49"/>
      <c r="I5" s="50">
        <f>Analysis!B8</f>
        <v>20</v>
      </c>
      <c r="J5" s="51"/>
      <c r="K5" s="52">
        <f>Analysis!B6</f>
        <v>0.22039355992844364</v>
      </c>
      <c r="L5" s="51"/>
    </row>
    <row r="6" spans="2:15" s="12" customFormat="1" ht="54" customHeight="1" x14ac:dyDescent="0.3">
      <c r="E6" s="11"/>
      <c r="F6" s="11"/>
      <c r="G6" s="11"/>
      <c r="H6" s="11"/>
      <c r="I6" s="11"/>
      <c r="J6" s="11"/>
      <c r="K6" s="14"/>
      <c r="L6" s="11"/>
    </row>
    <row r="7" spans="2:15" s="12" customFormat="1" ht="16.2" customHeight="1" x14ac:dyDescent="0.3">
      <c r="E7" s="11"/>
      <c r="F7" s="11"/>
      <c r="G7" s="11"/>
      <c r="H7" s="11"/>
      <c r="I7" s="11"/>
      <c r="J7" s="11"/>
      <c r="K7" s="14"/>
      <c r="L7" s="11"/>
    </row>
    <row r="8" spans="2:15" s="12" customFormat="1" ht="13.8" customHeight="1" x14ac:dyDescent="0.3">
      <c r="C8" s="55" t="s">
        <v>98</v>
      </c>
      <c r="D8" s="55"/>
      <c r="E8" s="55"/>
      <c r="F8" s="55"/>
      <c r="G8" s="55"/>
      <c r="H8" s="55"/>
      <c r="I8" s="55" t="s">
        <v>99</v>
      </c>
      <c r="J8" s="55"/>
      <c r="K8" s="55"/>
      <c r="L8" s="55"/>
      <c r="M8" s="55"/>
      <c r="N8" s="55"/>
    </row>
    <row r="12" spans="2:15" ht="24" customHeight="1" x14ac:dyDescent="0.3"/>
    <row r="18" spans="2:15" ht="20.399999999999999" customHeight="1" x14ac:dyDescent="0.35">
      <c r="C18" s="54" t="s">
        <v>100</v>
      </c>
      <c r="D18" s="54"/>
      <c r="E18" s="54"/>
      <c r="F18" s="54"/>
      <c r="G18" s="54"/>
      <c r="H18" s="54"/>
      <c r="I18" s="54" t="s">
        <v>101</v>
      </c>
      <c r="J18" s="54"/>
      <c r="K18" s="54"/>
      <c r="L18" s="54"/>
      <c r="M18" s="54"/>
      <c r="N18" s="54"/>
    </row>
    <row r="31" spans="2:15" ht="14.4" customHeight="1" x14ac:dyDescent="0.35">
      <c r="C31" s="44" t="s">
        <v>102</v>
      </c>
      <c r="D31" s="44"/>
      <c r="E31" s="44"/>
      <c r="F31" s="44"/>
      <c r="G31" s="44"/>
      <c r="H31" s="44"/>
      <c r="I31" s="44"/>
      <c r="J31" s="44"/>
      <c r="K31" s="44"/>
      <c r="L31" s="44"/>
      <c r="M31" s="44"/>
    </row>
    <row r="32" spans="2:15" x14ac:dyDescent="0.3">
      <c r="B32" s="45" t="s">
        <v>72</v>
      </c>
      <c r="C32" s="45"/>
      <c r="D32" s="45"/>
      <c r="E32" s="45"/>
      <c r="F32" s="45"/>
      <c r="G32" s="45"/>
      <c r="H32" s="45"/>
      <c r="I32" s="45"/>
      <c r="J32" s="45"/>
      <c r="K32" s="45"/>
      <c r="L32" s="45"/>
      <c r="M32" s="45"/>
      <c r="N32" s="45"/>
      <c r="O32" s="45"/>
    </row>
    <row r="33" spans="2:15" x14ac:dyDescent="0.3">
      <c r="B33" s="46" t="s">
        <v>70</v>
      </c>
      <c r="C33" s="46"/>
      <c r="D33" s="46"/>
      <c r="E33" s="46"/>
      <c r="F33" s="46"/>
      <c r="G33" s="46"/>
      <c r="H33" s="46"/>
      <c r="I33" s="46"/>
      <c r="J33" s="46"/>
      <c r="K33" s="46"/>
      <c r="L33" s="46"/>
      <c r="M33" s="46"/>
      <c r="N33" s="46"/>
      <c r="O33" s="46"/>
    </row>
    <row r="34" spans="2:15" x14ac:dyDescent="0.3">
      <c r="B34" s="47" t="s">
        <v>73</v>
      </c>
      <c r="C34" s="46"/>
      <c r="D34" s="46"/>
      <c r="E34" s="46"/>
      <c r="F34" s="46"/>
      <c r="G34" s="46"/>
      <c r="H34" s="46"/>
      <c r="I34" s="46"/>
      <c r="J34" s="46"/>
      <c r="K34" s="46"/>
      <c r="L34" s="46"/>
      <c r="M34" s="46"/>
      <c r="N34" s="46"/>
      <c r="O34" s="46"/>
    </row>
  </sheetData>
  <mergeCells count="20">
    <mergeCell ref="B1:N1"/>
    <mergeCell ref="C18:H18"/>
    <mergeCell ref="I18:N18"/>
    <mergeCell ref="C8:H8"/>
    <mergeCell ref="I8:N8"/>
    <mergeCell ref="E2:L2"/>
    <mergeCell ref="E4:F4"/>
    <mergeCell ref="G4:H4"/>
    <mergeCell ref="I4:J4"/>
    <mergeCell ref="K4:L4"/>
    <mergeCell ref="C4:D4"/>
    <mergeCell ref="C31:M31"/>
    <mergeCell ref="B32:O32"/>
    <mergeCell ref="B33:O33"/>
    <mergeCell ref="B34:O34"/>
    <mergeCell ref="E5:F5"/>
    <mergeCell ref="G5:H5"/>
    <mergeCell ref="I5:J5"/>
    <mergeCell ref="K5:L5"/>
    <mergeCell ref="C5:D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8AC41-9F5A-423B-94A0-61721DA6403C}">
  <dimension ref="A1:U16"/>
  <sheetViews>
    <sheetView zoomScale="73" workbookViewId="0">
      <selection activeCell="A10" sqref="A10"/>
    </sheetView>
  </sheetViews>
  <sheetFormatPr defaultRowHeight="14.4" x14ac:dyDescent="0.3"/>
  <cols>
    <col min="1" max="1" width="94.88671875" customWidth="1"/>
    <col min="2" max="2" width="47" customWidth="1"/>
    <col min="10" max="10" width="11.88671875" customWidth="1"/>
    <col min="11" max="12" width="8.33203125" bestFit="1" customWidth="1"/>
    <col min="13" max="13" width="11.5546875" bestFit="1" customWidth="1"/>
    <col min="14" max="14" width="9.109375" bestFit="1" customWidth="1"/>
    <col min="21" max="21" width="12.21875" bestFit="1" customWidth="1"/>
  </cols>
  <sheetData>
    <row r="1" spans="1:21" ht="19.8" x14ac:dyDescent="0.4">
      <c r="A1" s="60" t="s">
        <v>104</v>
      </c>
      <c r="B1" s="60"/>
      <c r="C1" s="60"/>
      <c r="D1" s="60"/>
      <c r="E1" s="60"/>
      <c r="F1" s="60"/>
      <c r="G1" s="60"/>
      <c r="H1" s="60"/>
      <c r="J1" s="37" t="s">
        <v>118</v>
      </c>
      <c r="K1" s="38"/>
      <c r="L1" s="38"/>
      <c r="M1" s="38"/>
      <c r="N1" s="39"/>
      <c r="Q1" s="37" t="s">
        <v>123</v>
      </c>
      <c r="R1" s="40"/>
      <c r="S1" s="40"/>
      <c r="T1" s="41"/>
    </row>
    <row r="2" spans="1:21" ht="24" customHeight="1" x14ac:dyDescent="0.3">
      <c r="A2" s="1" t="s">
        <v>105</v>
      </c>
      <c r="B2" s="1" t="s">
        <v>106</v>
      </c>
      <c r="J2" s="15" t="s">
        <v>114</v>
      </c>
      <c r="K2" s="3" t="s">
        <v>62</v>
      </c>
      <c r="L2" s="3" t="s">
        <v>63</v>
      </c>
      <c r="M2" s="3" t="s">
        <v>115</v>
      </c>
      <c r="N2" s="16" t="s">
        <v>116</v>
      </c>
      <c r="Q2" s="15" t="s">
        <v>5</v>
      </c>
      <c r="R2" s="3" t="s">
        <v>119</v>
      </c>
      <c r="S2" s="3" t="s">
        <v>120</v>
      </c>
      <c r="T2" s="16" t="s">
        <v>115</v>
      </c>
    </row>
    <row r="3" spans="1:21" ht="33.6" customHeight="1" x14ac:dyDescent="0.3">
      <c r="A3" s="4" t="s">
        <v>107</v>
      </c>
      <c r="B3" s="61" t="s">
        <v>124</v>
      </c>
      <c r="C3" s="61"/>
      <c r="D3" s="61"/>
      <c r="E3" s="61"/>
      <c r="F3" s="61"/>
      <c r="G3" s="61"/>
      <c r="H3" s="61"/>
      <c r="J3" s="17" t="s">
        <v>7</v>
      </c>
      <c r="K3" s="2">
        <f>SUMIFS(Datasheet!H:H,Datasheet!B:B,"&gt;="&amp;DATE(2026,3,1),Datasheet!B:B,"&lt;"&amp;DATE(2026,4,1))</f>
        <v>1151000</v>
      </c>
      <c r="L3" s="2">
        <f>SUMIFS(Datasheet!H:H,Datasheet!B:B,"&gt;="&amp;DATE(2026,4,1),Datasheet!B:B,"&lt;"&amp;DATE(2026,5,1))</f>
        <v>526000</v>
      </c>
      <c r="M3" s="29">
        <f>L3-K3</f>
        <v>-625000</v>
      </c>
      <c r="N3" s="24">
        <f>M3/K3</f>
        <v>-0.5430060816681147</v>
      </c>
      <c r="Q3" s="17" t="s">
        <v>13</v>
      </c>
      <c r="R3" s="2">
        <f>SUMIFS(Datasheet!$H:$H,Datasheet!F:F,Q3,Datasheet!$B:$B,"&gt;="&amp;DATE(2026,3,1),Datasheet!$B:$B,"&lt;"&amp;DATE(2026,4,1))</f>
        <v>560000</v>
      </c>
      <c r="S3" s="2">
        <f>SUMIFS(Datasheet!$H:$H,Datasheet!F:F,Q3,Datasheet!$B:$B,"&gt;="&amp;DATE(2026,4,1),Datasheet!$B:$B,"&lt;"&amp;DATE(2026,5,1))</f>
        <v>400000</v>
      </c>
      <c r="T3" s="18">
        <f>S3-R3</f>
        <v>-160000</v>
      </c>
    </row>
    <row r="4" spans="1:21" x14ac:dyDescent="0.3">
      <c r="A4" s="4" t="s">
        <v>108</v>
      </c>
      <c r="B4" s="4" t="str">
        <f>INDEX(J12:J15,MATCH(MIN(M12:M15),M12:M15,0))</f>
        <v>Kathmandu</v>
      </c>
      <c r="J4" s="17" t="s">
        <v>45</v>
      </c>
      <c r="K4" s="2">
        <f>SUMIFS(Datasheet!J:J,Datasheet!B:B,"&gt;="&amp;DATE(2026,3,1),Datasheet!B:B,"&lt;"&amp;DATE(2026,4,1))</f>
        <v>259200</v>
      </c>
      <c r="L4" s="2">
        <f>SUMIFS(Datasheet!J:J,Datasheet!B:B,"&gt;="&amp;DATE(2026,4,1),Datasheet!B:B,"&lt;"&amp;DATE(2026,5,1))</f>
        <v>110400</v>
      </c>
      <c r="M4" s="2">
        <f t="shared" ref="M4:M7" si="0">L4-K4</f>
        <v>-148800</v>
      </c>
      <c r="N4" s="24">
        <f t="shared" ref="N4:N6" si="1">M4/K4</f>
        <v>-0.57407407407407407</v>
      </c>
      <c r="Q4" s="17" t="s">
        <v>18</v>
      </c>
      <c r="R4" s="2">
        <f>SUMIFS(Datasheet!$H:$H,Datasheet!F:F,Q4,Datasheet!$B:$B,"&gt;="&amp;DATE(2026,3,1),Datasheet!$B:$B,"&lt;"&amp;DATE(2026,4,1))</f>
        <v>45000</v>
      </c>
      <c r="S4" s="2">
        <f>SUMIFS(Datasheet!$H:$H,Datasheet!F:F,Q4,Datasheet!$B:$B,"&gt;="&amp;DATE(2026,4,1),Datasheet!$B:$B,"&lt;"&amp;DATE(2026,5,1))</f>
        <v>30000</v>
      </c>
      <c r="T4" s="18">
        <f t="shared" ref="T4:T7" si="2">S4-R4</f>
        <v>-15000</v>
      </c>
    </row>
    <row r="5" spans="1:21" ht="28.8" x14ac:dyDescent="0.3">
      <c r="A5" s="4" t="s">
        <v>109</v>
      </c>
      <c r="B5" s="4" t="str">
        <f>INDEX(Q12:Q16,MATCH(MIN(T12:T16),T12:T16,0))</f>
        <v>Anisha</v>
      </c>
      <c r="J5" s="17" t="s">
        <v>117</v>
      </c>
      <c r="K5" s="2">
        <f>COUNTIFS(Datasheet!$B:$B,"&gt;="&amp;DATE(2026,3,1),Datasheet!$B:$B,"&lt;"&amp;DATE(2026,4,1))</f>
        <v>15</v>
      </c>
      <c r="L5" s="2">
        <f>COUNTIFS(Datasheet!$B:$B,"&gt;="&amp;DATE(2026,4,1),Datasheet!$B:$B,"&lt;"&amp;DATE(2026,5,1))</f>
        <v>5</v>
      </c>
      <c r="M5" s="2">
        <f t="shared" si="0"/>
        <v>-10</v>
      </c>
      <c r="N5" s="24">
        <f t="shared" si="1"/>
        <v>-0.66666666666666663</v>
      </c>
      <c r="Q5" s="17" t="s">
        <v>21</v>
      </c>
      <c r="R5" s="2">
        <f>SUMIFS(Datasheet!$H:$H,Datasheet!F:F,Q5,Datasheet!$B:$B,"&gt;="&amp;DATE(2026,3,1),Datasheet!$B:$B,"&lt;"&amp;DATE(2026,4,1))</f>
        <v>420000</v>
      </c>
      <c r="S5" s="2">
        <f>SUMIFS(Datasheet!$H:$H,Datasheet!F:F,Q5,Datasheet!$B:$B,"&gt;="&amp;DATE(2026,4,1),Datasheet!$B:$B,"&lt;"&amp;DATE(2026,5,1))</f>
        <v>60000</v>
      </c>
      <c r="T5" s="18">
        <f t="shared" si="2"/>
        <v>-360000</v>
      </c>
    </row>
    <row r="6" spans="1:21" ht="28.8" x14ac:dyDescent="0.3">
      <c r="A6" s="4" t="s">
        <v>110</v>
      </c>
      <c r="B6" s="4" t="str">
        <f>INDEX(Q3:Q7,MATCH(MIN(T3:T7),T3:T7,0))</f>
        <v>Monitor</v>
      </c>
      <c r="J6" s="17" t="s">
        <v>6</v>
      </c>
      <c r="K6" s="2">
        <f>SUMIFS(Datasheet!G:G,Datasheet!B:B,"&gt;="&amp;DATE(2026,3,1),Datasheet!B:B,"&lt;"&amp;DATE(2026,4,1))</f>
        <v>80</v>
      </c>
      <c r="L6" s="2">
        <f>SUMIFS(Datasheet!G:G,Datasheet!B:B,"&gt;="&amp;DATE(2026,4,1),Datasheet!B:B,"&lt;"&amp;DATE(2026,5,1))</f>
        <v>39</v>
      </c>
      <c r="M6" s="2">
        <f t="shared" si="0"/>
        <v>-41</v>
      </c>
      <c r="N6" s="24">
        <f t="shared" si="1"/>
        <v>-0.51249999999999996</v>
      </c>
      <c r="Q6" s="17" t="s">
        <v>25</v>
      </c>
      <c r="R6" s="2">
        <f>SUMIFS(Datasheet!$H:$H,Datasheet!F:F,Q6,Datasheet!$B:$B,"&gt;="&amp;DATE(2026,3,1),Datasheet!$B:$B,"&lt;"&amp;DATE(2026,4,1))</f>
        <v>48000</v>
      </c>
      <c r="S6" s="2">
        <f>SUMIFS(Datasheet!$H:$H,Datasheet!F:F,Q6,Datasheet!$B:$B,"&gt;="&amp;DATE(2026,4,1),Datasheet!$B:$B,"&lt;"&amp;DATE(2026,5,1))</f>
        <v>36000</v>
      </c>
      <c r="T6" s="18">
        <f t="shared" si="2"/>
        <v>-12000</v>
      </c>
    </row>
    <row r="7" spans="1:21" ht="28.8" customHeight="1" thickBot="1" x14ac:dyDescent="0.35">
      <c r="A7" s="4" t="s">
        <v>111</v>
      </c>
      <c r="B7" s="4" t="s">
        <v>125</v>
      </c>
      <c r="J7" s="19" t="s">
        <v>46</v>
      </c>
      <c r="K7" s="22">
        <f>K4/K3</f>
        <v>0.22519548218940053</v>
      </c>
      <c r="L7" s="22">
        <f>L4/L3</f>
        <v>0.20988593155893537</v>
      </c>
      <c r="M7" s="22">
        <f t="shared" si="0"/>
        <v>-1.5309550630465157E-2</v>
      </c>
      <c r="N7" s="25"/>
      <c r="Q7" s="19" t="s">
        <v>29</v>
      </c>
      <c r="R7" s="20">
        <f>SUMIFS(Datasheet!$H:$H,Datasheet!F:F,Q7,Datasheet!$B:$B,"&gt;="&amp;DATE(2026,3,1),Datasheet!$B:$B,"&lt;"&amp;DATE(2026,4,1))</f>
        <v>78000</v>
      </c>
      <c r="S7" s="20">
        <f>SUMIFS(Datasheet!$H:$H,Datasheet!F:F,Q7,Datasheet!$B:$B,"&gt;="&amp;DATE(2026,4,1),Datasheet!$B:$B,"&lt;"&amp;DATE(2026,5,1))</f>
        <v>0</v>
      </c>
      <c r="T7" s="21">
        <f t="shared" si="2"/>
        <v>-78000</v>
      </c>
    </row>
    <row r="8" spans="1:21" ht="78" customHeight="1" x14ac:dyDescent="0.3">
      <c r="A8" s="4" t="s">
        <v>112</v>
      </c>
      <c r="B8" s="4" t="s">
        <v>126</v>
      </c>
      <c r="L8" s="23"/>
    </row>
    <row r="9" spans="1:21" ht="38.4" customHeight="1" thickBot="1" x14ac:dyDescent="0.35">
      <c r="A9" s="4" t="s">
        <v>113</v>
      </c>
      <c r="B9" s="4"/>
    </row>
    <row r="10" spans="1:21" ht="96" customHeight="1" x14ac:dyDescent="0.3">
      <c r="A10" s="4" t="s">
        <v>127</v>
      </c>
      <c r="J10" s="37" t="s">
        <v>121</v>
      </c>
      <c r="K10" s="38"/>
      <c r="L10" s="38"/>
      <c r="M10" s="38"/>
      <c r="N10" s="39"/>
      <c r="Q10" s="37" t="s">
        <v>122</v>
      </c>
      <c r="R10" s="40"/>
      <c r="S10" s="40"/>
      <c r="T10" s="40"/>
      <c r="U10" s="41"/>
    </row>
    <row r="11" spans="1:21" ht="28.8" x14ac:dyDescent="0.3">
      <c r="J11" s="15" t="s">
        <v>2</v>
      </c>
      <c r="K11" s="3" t="s">
        <v>119</v>
      </c>
      <c r="L11" s="3" t="s">
        <v>120</v>
      </c>
      <c r="M11" s="3" t="s">
        <v>115</v>
      </c>
      <c r="N11" s="16" t="s">
        <v>116</v>
      </c>
      <c r="Q11" s="15" t="s">
        <v>3</v>
      </c>
      <c r="R11" s="3" t="s">
        <v>119</v>
      </c>
      <c r="S11" s="3" t="s">
        <v>120</v>
      </c>
      <c r="T11" s="3" t="s">
        <v>115</v>
      </c>
      <c r="U11" s="16" t="s">
        <v>116</v>
      </c>
    </row>
    <row r="12" spans="1:21" x14ac:dyDescent="0.3">
      <c r="J12" s="17" t="s">
        <v>10</v>
      </c>
      <c r="K12" s="2">
        <f>SUMIFS(Datasheet!$H:$H,Datasheet!$C:$C,J12,Datasheet!$B:$B,"&gt;="&amp;DATE(2026,3,1),Datasheet!$B:$B,"&lt;"&amp;DATE(2026,4,1))</f>
        <v>688000</v>
      </c>
      <c r="L12" s="2">
        <f>SUMIFS(Datasheet!$H:$H,Datasheet!$C:$C,J12,Datasheet!$B:$B,"&gt;="&amp;DATE(2026,4,1),Datasheet!$B:$B,"&lt;"&amp;DATE(2026,5,1))</f>
        <v>300000</v>
      </c>
      <c r="M12" s="2">
        <f>L12-K12</f>
        <v>-388000</v>
      </c>
      <c r="N12" s="24">
        <f>M12/K12</f>
        <v>-0.56395348837209303</v>
      </c>
      <c r="Q12" s="17" t="s">
        <v>11</v>
      </c>
      <c r="R12" s="2">
        <f>SUMIFS(Datasheet!$H:$H,Datasheet!D:D,Q12,Datasheet!$B:$B,"&gt;="&amp;DATE(2026,3,1),Datasheet!$B:$B,"&lt;"&amp;DATE(2026,4,1))</f>
        <v>288000</v>
      </c>
      <c r="S12" s="2">
        <f>SUMIFS(Datasheet!$H:$H,Datasheet!D:D,Q12,Datasheet!$B:$B,"&gt;="&amp;DATE(2026,4,1),Datasheet!$B:$B,"&lt;"&amp;DATE(2026,5,1))</f>
        <v>60000</v>
      </c>
      <c r="T12" s="2">
        <f>S12-R12</f>
        <v>-228000</v>
      </c>
      <c r="U12" s="24">
        <f>T12/R12</f>
        <v>-0.79166666666666663</v>
      </c>
    </row>
    <row r="13" spans="1:21" x14ac:dyDescent="0.3">
      <c r="J13" s="17" t="s">
        <v>15</v>
      </c>
      <c r="K13" s="2">
        <f>SUMIFS(Datasheet!$H:$H,Datasheet!$C:$C,J13,Datasheet!$B:$B,"&gt;="&amp;DATE(2026,3,1),Datasheet!$B:$B,"&lt;"&amp;DATE(2026,4,1))</f>
        <v>108000</v>
      </c>
      <c r="L13" s="2">
        <f>SUMIFS(Datasheet!$H:$H,Datasheet!$C:$C,J13,Datasheet!$B:$B,"&gt;="&amp;DATE(2026,4,1),Datasheet!$B:$B,"&lt;"&amp;DATE(2026,5,1))</f>
        <v>30000</v>
      </c>
      <c r="M13" s="2">
        <f t="shared" ref="M13:M15" si="3">L13-K13</f>
        <v>-78000</v>
      </c>
      <c r="N13" s="24">
        <f t="shared" ref="N13:N15" si="4">M13/K13</f>
        <v>-0.72222222222222221</v>
      </c>
      <c r="Q13" s="17" t="s">
        <v>16</v>
      </c>
      <c r="R13" s="2">
        <f>SUMIFS(Datasheet!$H:$H,Datasheet!D:D,Q13,Datasheet!$B:$B,"&gt;="&amp;DATE(2026,3,1),Datasheet!$B:$B,"&lt;"&amp;DATE(2026,4,1))</f>
        <v>108000</v>
      </c>
      <c r="S13" s="2">
        <f>SUMIFS(Datasheet!$H:$H,Datasheet!D:D,Q13,Datasheet!$B:$B,"&gt;="&amp;DATE(2026,4,1),Datasheet!$B:$B,"&lt;"&amp;DATE(2026,5,1))</f>
        <v>30000</v>
      </c>
      <c r="T13" s="2">
        <f t="shared" ref="T13:T16" si="5">S13-R13</f>
        <v>-78000</v>
      </c>
      <c r="U13" s="24">
        <f t="shared" ref="U13:U16" si="6">T13/R13</f>
        <v>-0.72222222222222221</v>
      </c>
    </row>
    <row r="14" spans="1:21" x14ac:dyDescent="0.3">
      <c r="J14" s="17" t="s">
        <v>23</v>
      </c>
      <c r="K14" s="2">
        <f>SUMIFS(Datasheet!$H:$H,Datasheet!$C:$C,J14,Datasheet!$B:$B,"&gt;="&amp;DATE(2026,3,1),Datasheet!$B:$B,"&lt;"&amp;DATE(2026,4,1))</f>
        <v>218000</v>
      </c>
      <c r="L14" s="2">
        <f>SUMIFS(Datasheet!$H:$H,Datasheet!$C:$C,J14,Datasheet!$B:$B,"&gt;="&amp;DATE(2026,4,1),Datasheet!$B:$B,"&lt;"&amp;DATE(2026,5,1))</f>
        <v>160000</v>
      </c>
      <c r="M14" s="2">
        <f t="shared" si="3"/>
        <v>-58000</v>
      </c>
      <c r="N14" s="24">
        <f t="shared" si="4"/>
        <v>-0.26605504587155965</v>
      </c>
      <c r="Q14" s="17" t="s">
        <v>20</v>
      </c>
      <c r="R14" s="2">
        <f>SUMIFS(Datasheet!$H:$H,Datasheet!D:D,Q14,Datasheet!$B:$B,"&gt;="&amp;DATE(2026,3,1),Datasheet!$B:$B,"&lt;"&amp;DATE(2026,4,1))</f>
        <v>400000</v>
      </c>
      <c r="S14" s="2">
        <f>SUMIFS(Datasheet!$H:$H,Datasheet!D:D,Q14,Datasheet!$B:$B,"&gt;="&amp;DATE(2026,4,1),Datasheet!$B:$B,"&lt;"&amp;DATE(2026,5,1))</f>
        <v>240000</v>
      </c>
      <c r="T14" s="2">
        <f t="shared" si="5"/>
        <v>-160000</v>
      </c>
      <c r="U14" s="24">
        <f t="shared" si="6"/>
        <v>-0.4</v>
      </c>
    </row>
    <row r="15" spans="1:21" ht="15" thickBot="1" x14ac:dyDescent="0.35">
      <c r="J15" s="19" t="s">
        <v>27</v>
      </c>
      <c r="K15" s="20">
        <f>SUMIFS(Datasheet!$H:$H,Datasheet!$C:$C,J15,Datasheet!$B:$B,"&gt;="&amp;DATE(2026,3,1),Datasheet!$B:$B,"&lt;"&amp;DATE(2026,4,1))</f>
        <v>137000</v>
      </c>
      <c r="L15" s="20">
        <f>SUMIFS(Datasheet!$H:$H,Datasheet!$C:$C,J15,Datasheet!$B:$B,"&gt;="&amp;DATE(2026,4,1),Datasheet!$B:$B,"&lt;"&amp;DATE(2026,5,1))</f>
        <v>36000</v>
      </c>
      <c r="M15" s="20">
        <f t="shared" si="3"/>
        <v>-101000</v>
      </c>
      <c r="N15" s="25">
        <f t="shared" si="4"/>
        <v>-0.73722627737226276</v>
      </c>
      <c r="Q15" s="17" t="s">
        <v>24</v>
      </c>
      <c r="R15" s="2">
        <f>SUMIFS(Datasheet!$H:$H,Datasheet!D:D,Q15,Datasheet!$B:$B,"&gt;="&amp;DATE(2026,3,1),Datasheet!$B:$B,"&lt;"&amp;DATE(2026,4,1))</f>
        <v>218000</v>
      </c>
      <c r="S15" s="2">
        <f>SUMIFS(Datasheet!$H:$H,Datasheet!D:D,Q15,Datasheet!$B:$B,"&gt;="&amp;DATE(2026,4,1),Datasheet!$B:$B,"&lt;"&amp;DATE(2026,5,1))</f>
        <v>160000</v>
      </c>
      <c r="T15" s="2">
        <f t="shared" si="5"/>
        <v>-58000</v>
      </c>
      <c r="U15" s="24">
        <f t="shared" si="6"/>
        <v>-0.26605504587155965</v>
      </c>
    </row>
    <row r="16" spans="1:21" ht="15" thickBot="1" x14ac:dyDescent="0.35">
      <c r="Q16" s="19" t="s">
        <v>28</v>
      </c>
      <c r="R16" s="20">
        <f>SUMIFS(Datasheet!$H:$H,Datasheet!D:D,Q16,Datasheet!$B:$B,"&gt;="&amp;DATE(2026,3,1),Datasheet!$B:$B,"&lt;"&amp;DATE(2026,4,1))</f>
        <v>137000</v>
      </c>
      <c r="S16" s="20">
        <f>SUMIFS(Datasheet!$H:$H,Datasheet!D:D,Q16,Datasheet!$B:$B,"&gt;="&amp;DATE(2026,4,1),Datasheet!$B:$B,"&lt;"&amp;DATE(2026,5,1))</f>
        <v>36000</v>
      </c>
      <c r="T16" s="20">
        <f t="shared" si="5"/>
        <v>-101000</v>
      </c>
      <c r="U16" s="25">
        <f t="shared" si="6"/>
        <v>-0.73722627737226276</v>
      </c>
    </row>
  </sheetData>
  <mergeCells count="6">
    <mergeCell ref="A1:H1"/>
    <mergeCell ref="J1:N1"/>
    <mergeCell ref="J10:N10"/>
    <mergeCell ref="Q10:U10"/>
    <mergeCell ref="Q1:T1"/>
    <mergeCell ref="B3:H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15AC9-DFD8-4625-A767-BD37864A6F0F}">
  <dimension ref="A1:Z39"/>
  <sheetViews>
    <sheetView topLeftCell="G2" workbookViewId="0">
      <selection activeCell="A36" sqref="A36"/>
    </sheetView>
  </sheetViews>
  <sheetFormatPr defaultRowHeight="14.4" x14ac:dyDescent="0.3"/>
  <cols>
    <col min="1" max="1" width="18.88671875" customWidth="1"/>
    <col min="5" max="5" width="12" customWidth="1"/>
    <col min="11" max="11" width="11.109375" customWidth="1"/>
  </cols>
  <sheetData>
    <row r="1" spans="1:26" ht="18" x14ac:dyDescent="0.3">
      <c r="A1" s="30" t="s">
        <v>48</v>
      </c>
      <c r="B1" s="31" t="s">
        <v>49</v>
      </c>
      <c r="E1" s="37" t="s">
        <v>121</v>
      </c>
      <c r="F1" s="38"/>
      <c r="G1" s="38"/>
      <c r="H1" s="38"/>
      <c r="I1" s="39"/>
      <c r="K1" s="37" t="s">
        <v>122</v>
      </c>
      <c r="L1" s="40"/>
      <c r="M1" s="40"/>
      <c r="N1" s="40"/>
      <c r="O1" s="41"/>
      <c r="Q1" s="37" t="s">
        <v>123</v>
      </c>
      <c r="R1" s="40"/>
      <c r="S1" s="40"/>
      <c r="T1" s="41"/>
      <c r="V1" s="37" t="s">
        <v>118</v>
      </c>
      <c r="W1" s="38"/>
      <c r="X1" s="38"/>
      <c r="Y1" s="38"/>
      <c r="Z1" s="39"/>
    </row>
    <row r="2" spans="1:26" ht="28.8" x14ac:dyDescent="0.3">
      <c r="A2" s="17" t="s">
        <v>50</v>
      </c>
      <c r="B2" s="18">
        <f>SUM(Datasheet!H:H)</f>
        <v>1677000</v>
      </c>
      <c r="E2" s="15" t="s">
        <v>2</v>
      </c>
      <c r="F2" s="3" t="s">
        <v>119</v>
      </c>
      <c r="G2" s="3" t="s">
        <v>120</v>
      </c>
      <c r="H2" s="3" t="s">
        <v>115</v>
      </c>
      <c r="I2" s="16" t="s">
        <v>116</v>
      </c>
      <c r="K2" s="15" t="s">
        <v>3</v>
      </c>
      <c r="L2" s="3" t="s">
        <v>119</v>
      </c>
      <c r="M2" s="3" t="s">
        <v>120</v>
      </c>
      <c r="N2" s="3" t="s">
        <v>115</v>
      </c>
      <c r="O2" s="16" t="s">
        <v>116</v>
      </c>
      <c r="Q2" s="15" t="s">
        <v>5</v>
      </c>
      <c r="R2" s="3" t="s">
        <v>119</v>
      </c>
      <c r="S2" s="3" t="s">
        <v>120</v>
      </c>
      <c r="T2" s="16" t="s">
        <v>115</v>
      </c>
      <c r="V2" s="15" t="s">
        <v>114</v>
      </c>
      <c r="W2" s="3" t="s">
        <v>62</v>
      </c>
      <c r="X2" s="3" t="s">
        <v>63</v>
      </c>
      <c r="Y2" s="3" t="s">
        <v>115</v>
      </c>
      <c r="Z2" s="16" t="s">
        <v>116</v>
      </c>
    </row>
    <row r="3" spans="1:26" x14ac:dyDescent="0.3">
      <c r="A3" s="17" t="s">
        <v>51</v>
      </c>
      <c r="B3" s="18">
        <f>SUM(Datasheet!I:I)</f>
        <v>1307400</v>
      </c>
      <c r="E3" s="17" t="s">
        <v>10</v>
      </c>
      <c r="F3" s="2">
        <f>SUMIFS(Datasheet!$H:$H,Datasheet!$C:$C,E3,Datasheet!$B:$B,"&gt;="&amp;DATE(2026,3,1),Datasheet!$B:$B,"&lt;"&amp;DATE(2026,4,1))</f>
        <v>688000</v>
      </c>
      <c r="G3" s="2">
        <f>SUMIFS(Datasheet!$H:$H,Datasheet!$C:$C,E3,Datasheet!$B:$B,"&gt;="&amp;DATE(2026,4,1),Datasheet!$B:$B,"&lt;"&amp;DATE(2026,5,1))</f>
        <v>300000</v>
      </c>
      <c r="H3" s="2">
        <f>G3-F3</f>
        <v>-388000</v>
      </c>
      <c r="I3" s="24">
        <f>H3/F3</f>
        <v>-0.56395348837209303</v>
      </c>
      <c r="K3" s="17" t="s">
        <v>11</v>
      </c>
      <c r="L3" s="2">
        <f>SUMIFS(Datasheet!$H:$H,Datasheet!$D:$D,K3,Datasheet!$B:$B,"&gt;="&amp;DATE(2026,3,1),Datasheet!$B:$B,"&lt;"&amp;DATE(2026,4,1))</f>
        <v>288000</v>
      </c>
      <c r="M3" s="2">
        <f>SUMIFS(Datasheet!$H:$H,Datasheet!$D:$D,K3,Datasheet!$B:$B,"&gt;="&amp;DATE(2026,4,1),Datasheet!$B:$B,"&lt;"&amp;DATE(2026,5,1))</f>
        <v>60000</v>
      </c>
      <c r="N3" s="2">
        <f>M3-L3</f>
        <v>-228000</v>
      </c>
      <c r="O3" s="24">
        <f>N3/L3</f>
        <v>-0.79166666666666663</v>
      </c>
      <c r="Q3" s="17" t="s">
        <v>13</v>
      </c>
      <c r="R3" s="2">
        <f>SUMIFS(Datasheet!$H:$H,Datasheet!F:F,Q3,Datasheet!$B:$B,"&gt;="&amp;DATE(2026,3,1),Datasheet!$B:$B,"&lt;"&amp;DATE(2026,4,1))</f>
        <v>560000</v>
      </c>
      <c r="S3" s="2">
        <f>SUMIFS(Datasheet!$H:$H,Datasheet!F:F,Q3,Datasheet!$B:$B,"&gt;="&amp;DATE(2026,4,1),Datasheet!$B:$B,"&lt;"&amp;DATE(2026,5,1))</f>
        <v>400000</v>
      </c>
      <c r="T3" s="18">
        <f>S3-R3</f>
        <v>-160000</v>
      </c>
      <c r="V3" s="17" t="s">
        <v>7</v>
      </c>
      <c r="W3" s="2">
        <f>SUMIFS(Datasheet!$H:$H,Datasheet!$B:$B,"&gt;="&amp;DATE(2026,3,1),Datasheet!$B:$B,"&lt;"&amp;DATE(2026,4,1))</f>
        <v>1151000</v>
      </c>
      <c r="X3" s="2">
        <f>SUMIFS(Datasheet!$H:$H,Datasheet!$B:$B,"&gt;="&amp;DATE(2026,4,1),Datasheet!$B:$B,"&lt;"&amp;DATE(2026,5,1))</f>
        <v>526000</v>
      </c>
      <c r="Y3" s="29">
        <f>X3-W3</f>
        <v>-625000</v>
      </c>
      <c r="Z3" s="24">
        <f>Y3/W3</f>
        <v>-0.5430060816681147</v>
      </c>
    </row>
    <row r="4" spans="1:26" x14ac:dyDescent="0.3">
      <c r="A4" s="17" t="s">
        <v>52</v>
      </c>
      <c r="B4" s="18">
        <f>SUM(Datasheet!J:J)</f>
        <v>369600</v>
      </c>
      <c r="E4" s="17" t="s">
        <v>15</v>
      </c>
      <c r="F4" s="2">
        <f>SUMIFS(Datasheet!$H:$H,Datasheet!$C:$C,E4,Datasheet!$B:$B,"&gt;="&amp;DATE(2026,3,1),Datasheet!$B:$B,"&lt;"&amp;DATE(2026,4,1))</f>
        <v>108000</v>
      </c>
      <c r="G4" s="2">
        <f>SUMIFS(Datasheet!$H:$H,Datasheet!$C:$C,E4,Datasheet!$B:$B,"&gt;="&amp;DATE(2026,4,1),Datasheet!$B:$B,"&lt;"&amp;DATE(2026,5,1))</f>
        <v>30000</v>
      </c>
      <c r="H4" s="2">
        <f t="shared" ref="H4:H6" si="0">G4-F4</f>
        <v>-78000</v>
      </c>
      <c r="I4" s="24">
        <f t="shared" ref="I4:I6" si="1">H4/F4</f>
        <v>-0.72222222222222221</v>
      </c>
      <c r="K4" s="17" t="s">
        <v>16</v>
      </c>
      <c r="L4" s="2">
        <f>SUMIFS(Datasheet!$H:$H,Datasheet!$D:$D,K4,Datasheet!$B:$B,"&gt;="&amp;DATE(2026,3,1),Datasheet!$B:$B,"&lt;"&amp;DATE(2026,4,1))</f>
        <v>108000</v>
      </c>
      <c r="M4" s="2">
        <f>SUMIFS(Datasheet!$H:$H,Datasheet!$D:$D,K4,Datasheet!$B:$B,"&gt;="&amp;DATE(2026,4,1),Datasheet!$B:$B,"&lt;"&amp;DATE(2026,5,1))</f>
        <v>30000</v>
      </c>
      <c r="N4" s="2">
        <f t="shared" ref="N4:N7" si="2">M4-L4</f>
        <v>-78000</v>
      </c>
      <c r="O4" s="24">
        <f t="shared" ref="O4:O7" si="3">N4/L4</f>
        <v>-0.72222222222222221</v>
      </c>
      <c r="Q4" s="17" t="s">
        <v>18</v>
      </c>
      <c r="R4" s="2">
        <f>SUMIFS(Datasheet!$H:$H,Datasheet!F:F,Q4,Datasheet!$B:$B,"&gt;="&amp;DATE(2026,3,1),Datasheet!$B:$B,"&lt;"&amp;DATE(2026,4,1))</f>
        <v>45000</v>
      </c>
      <c r="S4" s="2">
        <f>SUMIFS(Datasheet!$H:$H,Datasheet!F:F,Q4,Datasheet!$B:$B,"&gt;="&amp;DATE(2026,4,1),Datasheet!$B:$B,"&lt;"&amp;DATE(2026,5,1))</f>
        <v>30000</v>
      </c>
      <c r="T4" s="18">
        <f t="shared" ref="T4:T7" si="4">S4-R4</f>
        <v>-15000</v>
      </c>
      <c r="V4" s="17" t="s">
        <v>45</v>
      </c>
      <c r="W4" s="2">
        <f>SUMIFS(Datasheet!J:J,Datasheet!$B:$B,"&gt;="&amp;DATE(2026,3,1),Datasheet!$B:$B,"&lt;"&amp;DATE(2026,4,1))</f>
        <v>259200</v>
      </c>
      <c r="X4" s="2">
        <f>SUMIFS(Datasheet!J:J,Datasheet!B:B,"&gt;="&amp;DATE(2026,4,1),Datasheet!B:B,"&lt;"&amp;DATE(2026,5,1))</f>
        <v>110400</v>
      </c>
      <c r="Y4" s="2">
        <f t="shared" ref="Y4:Y7" si="5">X4-W4</f>
        <v>-148800</v>
      </c>
      <c r="Z4" s="24">
        <f t="shared" ref="Z4:Z6" si="6">Y4/W4</f>
        <v>-0.57407407407407407</v>
      </c>
    </row>
    <row r="5" spans="1:26" x14ac:dyDescent="0.3">
      <c r="A5" s="17" t="s">
        <v>53</v>
      </c>
      <c r="B5" s="18">
        <f>SUM(Datasheet!G:G)</f>
        <v>119</v>
      </c>
      <c r="E5" s="17" t="s">
        <v>23</v>
      </c>
      <c r="F5" s="2">
        <f>SUMIFS(Datasheet!$H:$H,Datasheet!$C:$C,E5,Datasheet!$B:$B,"&gt;="&amp;DATE(2026,3,1),Datasheet!$B:$B,"&lt;"&amp;DATE(2026,4,1))</f>
        <v>218000</v>
      </c>
      <c r="G5" s="2">
        <f>SUMIFS(Datasheet!$H:$H,Datasheet!$C:$C,E5,Datasheet!$B:$B,"&gt;="&amp;DATE(2026,4,1),Datasheet!$B:$B,"&lt;"&amp;DATE(2026,5,1))</f>
        <v>160000</v>
      </c>
      <c r="H5" s="2">
        <f t="shared" si="0"/>
        <v>-58000</v>
      </c>
      <c r="I5" s="24">
        <f t="shared" si="1"/>
        <v>-0.26605504587155965</v>
      </c>
      <c r="K5" s="17" t="s">
        <v>20</v>
      </c>
      <c r="L5" s="2">
        <f>SUMIFS(Datasheet!$H:$H,Datasheet!$D:$D,K5,Datasheet!$B:$B,"&gt;="&amp;DATE(2026,3,1),Datasheet!$B:$B,"&lt;"&amp;DATE(2026,4,1))</f>
        <v>400000</v>
      </c>
      <c r="M5" s="2">
        <f>SUMIFS(Datasheet!$H:$H,Datasheet!$D:$D,K5,Datasheet!$B:$B,"&gt;="&amp;DATE(2026,4,1),Datasheet!$B:$B,"&lt;"&amp;DATE(2026,5,1))</f>
        <v>240000</v>
      </c>
      <c r="N5" s="2">
        <f t="shared" si="2"/>
        <v>-160000</v>
      </c>
      <c r="O5" s="24">
        <f t="shared" si="3"/>
        <v>-0.4</v>
      </c>
      <c r="Q5" s="17" t="s">
        <v>21</v>
      </c>
      <c r="R5" s="2">
        <f>SUMIFS(Datasheet!$H:$H,Datasheet!F:F,Q5,Datasheet!$B:$B,"&gt;="&amp;DATE(2026,3,1),Datasheet!$B:$B,"&lt;"&amp;DATE(2026,4,1))</f>
        <v>420000</v>
      </c>
      <c r="S5" s="2">
        <f>SUMIFS(Datasheet!$H:$H,Datasheet!F:F,Q5,Datasheet!$B:$B,"&gt;="&amp;DATE(2026,4,1),Datasheet!$B:$B,"&lt;"&amp;DATE(2026,5,1))</f>
        <v>60000</v>
      </c>
      <c r="T5" s="18">
        <f t="shared" si="4"/>
        <v>-360000</v>
      </c>
      <c r="V5" s="17" t="s">
        <v>117</v>
      </c>
      <c r="W5" s="2">
        <f>COUNTIFS(Datasheet!$B:$B,"&gt;="&amp;DATE(2026,3,1),Datasheet!$B:$B,"&lt;"&amp;DATE(2026,4,1))</f>
        <v>15</v>
      </c>
      <c r="X5" s="2">
        <f>COUNTIFS(Datasheet!$B:$B,"&gt;="&amp;DATE(2026,4,1),Datasheet!$B:$B,"&lt;"&amp;DATE(2026,5,1))</f>
        <v>5</v>
      </c>
      <c r="Y5" s="2">
        <f t="shared" si="5"/>
        <v>-10</v>
      </c>
      <c r="Z5" s="24">
        <f t="shared" si="6"/>
        <v>-0.66666666666666663</v>
      </c>
    </row>
    <row r="6" spans="1:26" ht="15" thickBot="1" x14ac:dyDescent="0.35">
      <c r="A6" s="17" t="s">
        <v>54</v>
      </c>
      <c r="B6" s="24">
        <f>SUM(Datasheet!J:J)/SUM(Datasheet!H:H)</f>
        <v>0.22039355992844364</v>
      </c>
      <c r="E6" s="19" t="s">
        <v>27</v>
      </c>
      <c r="F6" s="20">
        <f>SUMIFS(Datasheet!$H:$H,Datasheet!$C:$C,E6,Datasheet!$B:$B,"&gt;="&amp;DATE(2026,3,1),Datasheet!$B:$B,"&lt;"&amp;DATE(2026,4,1))</f>
        <v>137000</v>
      </c>
      <c r="G6" s="20">
        <f>SUMIFS(Datasheet!$H:$H,Datasheet!$C:$C,E6,Datasheet!$B:$B,"&gt;="&amp;DATE(2026,4,1),Datasheet!$B:$B,"&lt;"&amp;DATE(2026,5,1))</f>
        <v>36000</v>
      </c>
      <c r="H6" s="20">
        <f t="shared" si="0"/>
        <v>-101000</v>
      </c>
      <c r="I6" s="25">
        <f t="shared" si="1"/>
        <v>-0.73722627737226276</v>
      </c>
      <c r="K6" s="17" t="s">
        <v>24</v>
      </c>
      <c r="L6" s="2">
        <f>SUMIFS(Datasheet!$H:$H,Datasheet!$D:$D,K6,Datasheet!$B:$B,"&gt;="&amp;DATE(2026,3,1),Datasheet!$B:$B,"&lt;"&amp;DATE(2026,4,1))</f>
        <v>218000</v>
      </c>
      <c r="M6" s="2">
        <f>SUMIFS(Datasheet!$H:$H,Datasheet!$D:$D,K6,Datasheet!$B:$B,"&gt;="&amp;DATE(2026,4,1),Datasheet!$B:$B,"&lt;"&amp;DATE(2026,5,1))</f>
        <v>160000</v>
      </c>
      <c r="N6" s="2">
        <f t="shared" si="2"/>
        <v>-58000</v>
      </c>
      <c r="O6" s="24">
        <f t="shared" si="3"/>
        <v>-0.26605504587155965</v>
      </c>
      <c r="Q6" s="17" t="s">
        <v>25</v>
      </c>
      <c r="R6" s="2">
        <f>SUMIFS(Datasheet!$H:$H,Datasheet!F:F,Q6,Datasheet!$B:$B,"&gt;="&amp;DATE(2026,3,1),Datasheet!$B:$B,"&lt;"&amp;DATE(2026,4,1))</f>
        <v>48000</v>
      </c>
      <c r="S6" s="2">
        <f>SUMIFS(Datasheet!$H:$H,Datasheet!F:F,Q6,Datasheet!$B:$B,"&gt;="&amp;DATE(2026,4,1),Datasheet!$B:$B,"&lt;"&amp;DATE(2026,5,1))</f>
        <v>36000</v>
      </c>
      <c r="T6" s="18">
        <f t="shared" si="4"/>
        <v>-12000</v>
      </c>
      <c r="V6" s="17" t="s">
        <v>6</v>
      </c>
      <c r="W6" s="2">
        <f>SUMIFS(Datasheet!G:G,Datasheet!B:B,"&gt;="&amp;DATE(2026,3,1),Datasheet!B:B,"&lt;"&amp;DATE(2026,4,1))</f>
        <v>80</v>
      </c>
      <c r="X6" s="2">
        <f>SUMIFS(Datasheet!G:G,Datasheet!B:B,"&gt;="&amp;DATE(2026,4,1),Datasheet!B:B,"&lt;"&amp;DATE(2026,5,1))</f>
        <v>39</v>
      </c>
      <c r="Y6" s="2">
        <f t="shared" si="5"/>
        <v>-41</v>
      </c>
      <c r="Z6" s="24">
        <f t="shared" si="6"/>
        <v>-0.51249999999999996</v>
      </c>
    </row>
    <row r="7" spans="1:26" ht="29.4" thickBot="1" x14ac:dyDescent="0.35">
      <c r="A7" s="17" t="s">
        <v>55</v>
      </c>
      <c r="B7" s="18">
        <f>AVERAGE(Datasheet!H:H)</f>
        <v>83850</v>
      </c>
      <c r="K7" s="26" t="s">
        <v>28</v>
      </c>
      <c r="L7" s="27">
        <f>SUMIFS(Datasheet!$H:$H,Datasheet!$D:$D,K7,Datasheet!$B:$B,"&gt;="&amp;DATE(2026,3,1),Datasheet!$B:$B,"&lt;"&amp;DATE(2026,4,1))</f>
        <v>137000</v>
      </c>
      <c r="M7" s="27">
        <f>SUMIFS(Datasheet!$H:$H,Datasheet!$D:$D,K7,Datasheet!$B:$B,"&gt;="&amp;DATE(2026,4,1),Datasheet!$B:$B,"&lt;"&amp;DATE(2026,5,1))</f>
        <v>36000</v>
      </c>
      <c r="N7" s="27">
        <f t="shared" si="2"/>
        <v>-101000</v>
      </c>
      <c r="O7" s="28">
        <f t="shared" si="3"/>
        <v>-0.73722627737226276</v>
      </c>
      <c r="Q7" s="19" t="s">
        <v>29</v>
      </c>
      <c r="R7" s="20">
        <f>SUMIFS(Datasheet!$H:$H,Datasheet!F:F,Q7,Datasheet!$B:$B,"&gt;="&amp;DATE(2026,3,1),Datasheet!$B:$B,"&lt;"&amp;DATE(2026,4,1))</f>
        <v>78000</v>
      </c>
      <c r="S7" s="20">
        <f>SUMIFS(Datasheet!$H:$H,Datasheet!F:F,Q7,Datasheet!$B:$B,"&gt;="&amp;DATE(2026,4,1),Datasheet!$B:$B,"&lt;"&amp;DATE(2026,5,1))</f>
        <v>0</v>
      </c>
      <c r="T7" s="21">
        <f t="shared" si="4"/>
        <v>-78000</v>
      </c>
      <c r="V7" s="19" t="s">
        <v>46</v>
      </c>
      <c r="W7" s="22">
        <f>W4/W3</f>
        <v>0.22519548218940053</v>
      </c>
      <c r="X7" s="22">
        <f>X4/X3</f>
        <v>0.20988593155893537</v>
      </c>
      <c r="Y7" s="22">
        <f t="shared" si="5"/>
        <v>-1.5309550630465157E-2</v>
      </c>
      <c r="Z7" s="25"/>
    </row>
    <row r="8" spans="1:26" ht="15" thickBot="1" x14ac:dyDescent="0.35">
      <c r="A8" s="19" t="s">
        <v>56</v>
      </c>
      <c r="B8" s="21">
        <f>COUNTA(SalesData[Order ID])</f>
        <v>20</v>
      </c>
    </row>
    <row r="11" spans="1:26" x14ac:dyDescent="0.3">
      <c r="A11" s="42"/>
      <c r="B11" s="43"/>
      <c r="C11" s="43"/>
    </row>
    <row r="12" spans="1:26" x14ac:dyDescent="0.3">
      <c r="A12" s="33"/>
      <c r="B12" s="33"/>
      <c r="C12" s="33"/>
    </row>
    <row r="13" spans="1:26" x14ac:dyDescent="0.3">
      <c r="A13" s="32"/>
      <c r="B13" s="33"/>
      <c r="C13" s="33"/>
    </row>
    <row r="14" spans="1:26" x14ac:dyDescent="0.3">
      <c r="A14" s="33"/>
      <c r="B14" s="33"/>
      <c r="C14" s="33"/>
    </row>
    <row r="16" spans="1:26" x14ac:dyDescent="0.3">
      <c r="A16" s="34"/>
    </row>
    <row r="17" spans="1:1" x14ac:dyDescent="0.3">
      <c r="A17" s="33"/>
    </row>
    <row r="18" spans="1:1" x14ac:dyDescent="0.3">
      <c r="A18" s="33"/>
    </row>
    <row r="19" spans="1:1" x14ac:dyDescent="0.3">
      <c r="A19" s="36"/>
    </row>
    <row r="22" spans="1:1" x14ac:dyDescent="0.3">
      <c r="A22" s="35" t="s">
        <v>128</v>
      </c>
    </row>
    <row r="23" spans="1:1" x14ac:dyDescent="0.3">
      <c r="A23" t="s">
        <v>131</v>
      </c>
    </row>
    <row r="25" spans="1:1" x14ac:dyDescent="0.3">
      <c r="A25" s="35" t="s">
        <v>132</v>
      </c>
    </row>
    <row r="26" spans="1:1" x14ac:dyDescent="0.3">
      <c r="A26" t="s">
        <v>133</v>
      </c>
    </row>
    <row r="28" spans="1:1" x14ac:dyDescent="0.3">
      <c r="A28" s="35" t="s">
        <v>129</v>
      </c>
    </row>
    <row r="29" spans="1:1" x14ac:dyDescent="0.3">
      <c r="A29" t="s">
        <v>135</v>
      </c>
    </row>
    <row r="30" spans="1:1" x14ac:dyDescent="0.3">
      <c r="A30" t="s">
        <v>136</v>
      </c>
    </row>
    <row r="31" spans="1:1" x14ac:dyDescent="0.3">
      <c r="A31" t="s">
        <v>134</v>
      </c>
    </row>
    <row r="33" spans="1:1" x14ac:dyDescent="0.3">
      <c r="A33" s="35" t="s">
        <v>130</v>
      </c>
    </row>
    <row r="34" spans="1:1" x14ac:dyDescent="0.3">
      <c r="A34" t="s">
        <v>137</v>
      </c>
    </row>
    <row r="35" spans="1:1" x14ac:dyDescent="0.3">
      <c r="A35" t="s">
        <v>138</v>
      </c>
    </row>
    <row r="36" spans="1:1" x14ac:dyDescent="0.3">
      <c r="A36" t="s">
        <v>139</v>
      </c>
    </row>
    <row r="38" spans="1:1" x14ac:dyDescent="0.3">
      <c r="A38" s="35" t="s">
        <v>140</v>
      </c>
    </row>
    <row r="39" spans="1:1" x14ac:dyDescent="0.3">
      <c r="A39" t="s">
        <v>141</v>
      </c>
    </row>
  </sheetData>
  <mergeCells count="5">
    <mergeCell ref="E1:I1"/>
    <mergeCell ref="K1:O1"/>
    <mergeCell ref="Q1:T1"/>
    <mergeCell ref="V1:Z1"/>
    <mergeCell ref="A11:C1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09A56-740C-49AE-BEA2-51469EC3005E}">
  <dimension ref="A1:W39"/>
  <sheetViews>
    <sheetView tabSelected="1" topLeftCell="A32" workbookViewId="0">
      <selection activeCell="H47" sqref="H47"/>
    </sheetView>
  </sheetViews>
  <sheetFormatPr defaultRowHeight="14.4" x14ac:dyDescent="0.3"/>
  <cols>
    <col min="1" max="1" width="19.109375" customWidth="1"/>
    <col min="5" max="5" width="12.33203125" customWidth="1"/>
    <col min="8" max="8" width="14.44140625" customWidth="1"/>
    <col min="9" max="9" width="13.77734375" bestFit="1" customWidth="1"/>
    <col min="11" max="11" width="11.109375" customWidth="1"/>
    <col min="14" max="14" width="13.33203125" customWidth="1"/>
    <col min="15" max="15" width="13.77734375" bestFit="1" customWidth="1"/>
    <col min="17" max="17" width="12.5546875" bestFit="1" customWidth="1"/>
    <col min="21" max="21" width="12.109375" bestFit="1" customWidth="1"/>
    <col min="22" max="22" width="12.109375" customWidth="1"/>
    <col min="23" max="23" width="12.5546875" bestFit="1" customWidth="1"/>
    <col min="24" max="24" width="22" bestFit="1" customWidth="1"/>
  </cols>
  <sheetData>
    <row r="1" spans="1:23" ht="18" x14ac:dyDescent="0.3">
      <c r="A1" s="30" t="s">
        <v>48</v>
      </c>
      <c r="B1" s="31" t="s">
        <v>49</v>
      </c>
      <c r="E1" s="30" t="s">
        <v>3</v>
      </c>
      <c r="F1" s="70" t="s">
        <v>7</v>
      </c>
      <c r="G1" s="70" t="s">
        <v>45</v>
      </c>
      <c r="H1" s="31" t="s">
        <v>46</v>
      </c>
      <c r="I1" s="62"/>
      <c r="K1" s="30" t="s">
        <v>2</v>
      </c>
      <c r="L1" s="70" t="s">
        <v>7</v>
      </c>
      <c r="M1" s="70" t="s">
        <v>45</v>
      </c>
      <c r="N1" s="31" t="s">
        <v>46</v>
      </c>
      <c r="O1" s="62"/>
      <c r="P1" s="66"/>
      <c r="Q1" s="71" t="s">
        <v>5</v>
      </c>
      <c r="R1" s="72" t="s">
        <v>7</v>
      </c>
      <c r="S1" s="72" t="s">
        <v>45</v>
      </c>
      <c r="T1" s="72" t="s">
        <v>6</v>
      </c>
      <c r="U1" s="73" t="s">
        <v>46</v>
      </c>
      <c r="V1" s="67"/>
      <c r="W1" s="66"/>
    </row>
    <row r="2" spans="1:23" x14ac:dyDescent="0.3">
      <c r="A2" s="17" t="s">
        <v>50</v>
      </c>
      <c r="B2" s="18">
        <f>SUM(Datasheet!H:H)</f>
        <v>1677000</v>
      </c>
      <c r="E2" s="17" t="s">
        <v>20</v>
      </c>
      <c r="F2" s="63">
        <f>SUMIFS(Datasheet!H:H,Datasheet!D:D,E2)</f>
        <v>640000</v>
      </c>
      <c r="G2" s="63">
        <f>SUMIFS(Datasheet!J:J,Datasheet!D:D,E2)</f>
        <v>126000</v>
      </c>
      <c r="H2" s="24">
        <f>G2/F2</f>
        <v>0.19687499999999999</v>
      </c>
      <c r="I2" s="76"/>
      <c r="K2" s="17" t="s">
        <v>10</v>
      </c>
      <c r="L2" s="63">
        <f>SUMIFS(Datasheet!$H:$H,Datasheet!$C:$C,K2)</f>
        <v>988000</v>
      </c>
      <c r="M2" s="63">
        <f>SUMIFS(Datasheet!$J:$J,Datasheet!$C:$C,K2)</f>
        <v>198000</v>
      </c>
      <c r="N2" s="24">
        <f>M2/L2</f>
        <v>0.20040485829959515</v>
      </c>
      <c r="O2" s="76"/>
      <c r="P2" s="62"/>
      <c r="Q2" s="17" t="s">
        <v>13</v>
      </c>
      <c r="R2" s="68">
        <f>SUMIFS(Datasheet!$H:$H,Datasheet!$F:$F,'16-FinalAssesment'!Q2)</f>
        <v>960000</v>
      </c>
      <c r="S2" s="69">
        <f>SUMIFS(Datasheet!$J:$J,Datasheet!$F:$F,'16-FinalAssesment'!Q2)</f>
        <v>168000</v>
      </c>
      <c r="T2" s="69">
        <f>SUMIFS(Datasheet!G:G,Datasheet!F:F,'16-FinalAssesment'!Q2)</f>
        <v>12</v>
      </c>
      <c r="U2" s="24">
        <f>S2/R2</f>
        <v>0.17499999999999999</v>
      </c>
      <c r="V2" s="76"/>
      <c r="W2" s="62"/>
    </row>
    <row r="3" spans="1:23" x14ac:dyDescent="0.3">
      <c r="A3" s="17" t="s">
        <v>51</v>
      </c>
      <c r="B3" s="18">
        <f>SUM(Datasheet!I:I)</f>
        <v>1307400</v>
      </c>
      <c r="E3" s="17" t="s">
        <v>24</v>
      </c>
      <c r="F3" s="63">
        <f>SUMIFS(Datasheet!H:H,Datasheet!D:D,E3)</f>
        <v>378000</v>
      </c>
      <c r="G3" s="63">
        <f>SUMIFS(Datasheet!J:J,Datasheet!D:D,E3)</f>
        <v>77200</v>
      </c>
      <c r="H3" s="24">
        <f>G3/F3</f>
        <v>0.20423280423280424</v>
      </c>
      <c r="I3" s="76"/>
      <c r="K3" s="17" t="s">
        <v>23</v>
      </c>
      <c r="L3" s="63">
        <f>SUMIFS(Datasheet!$H:$H,Datasheet!$C:$C,K3)</f>
        <v>378000</v>
      </c>
      <c r="M3" s="63">
        <f>SUMIFS(Datasheet!$J:$J,Datasheet!$C:$C,K3)</f>
        <v>77200</v>
      </c>
      <c r="N3" s="24">
        <f>M3/L3</f>
        <v>0.20423280423280424</v>
      </c>
      <c r="O3" s="76"/>
      <c r="P3" s="65"/>
      <c r="Q3" s="17" t="s">
        <v>18</v>
      </c>
      <c r="R3" s="68">
        <f>SUMIFS(Datasheet!$H:$H,Datasheet!$F:$F,'16-FinalAssesment'!Q3)</f>
        <v>75000</v>
      </c>
      <c r="S3" s="69">
        <f>SUMIFS(Datasheet!$J:$J,Datasheet!$F:$F,'16-FinalAssesment'!Q3)</f>
        <v>30000</v>
      </c>
      <c r="T3" s="69">
        <f>SUMIFS(Datasheet!G:G,Datasheet!F:F,'16-FinalAssesment'!Q3)</f>
        <v>50</v>
      </c>
      <c r="U3" s="24">
        <f>S3/R3</f>
        <v>0.4</v>
      </c>
      <c r="V3" s="76"/>
      <c r="W3" s="63"/>
    </row>
    <row r="4" spans="1:23" x14ac:dyDescent="0.3">
      <c r="A4" s="17" t="s">
        <v>52</v>
      </c>
      <c r="B4" s="18">
        <f>SUM(Datasheet!J:J)</f>
        <v>369600</v>
      </c>
      <c r="E4" s="17" t="s">
        <v>11</v>
      </c>
      <c r="F4" s="63">
        <f>SUMIFS(Datasheet!H:H,Datasheet!D:D,E4)</f>
        <v>348000</v>
      </c>
      <c r="G4" s="63">
        <f>SUMIFS(Datasheet!J:J,Datasheet!D:D,E4)</f>
        <v>72000</v>
      </c>
      <c r="H4" s="24">
        <f>G4/F4</f>
        <v>0.20689655172413793</v>
      </c>
      <c r="I4" s="76"/>
      <c r="K4" s="17" t="s">
        <v>27</v>
      </c>
      <c r="L4" s="63">
        <f>SUMIFS(Datasheet!$H:$H,Datasheet!$C:$C,K4)</f>
        <v>173000</v>
      </c>
      <c r="M4" s="63">
        <f>SUMIFS(Datasheet!$J:$J,Datasheet!$C:$C,K4)</f>
        <v>49200</v>
      </c>
      <c r="N4" s="24">
        <f>M4/L4</f>
        <v>0.28439306358381505</v>
      </c>
      <c r="O4" s="76"/>
      <c r="P4" s="65"/>
      <c r="Q4" s="17" t="s">
        <v>21</v>
      </c>
      <c r="R4" s="68">
        <f>SUMIFS(Datasheet!$H:$H,Datasheet!$F:$F,'16-FinalAssesment'!Q4)</f>
        <v>480000</v>
      </c>
      <c r="S4" s="69">
        <f>SUMIFS(Datasheet!$J:$J,Datasheet!$F:$F,'16-FinalAssesment'!Q4)</f>
        <v>112000</v>
      </c>
      <c r="T4" s="69">
        <f>SUMIFS(Datasheet!G:G,Datasheet!F:F,'16-FinalAssesment'!Q4)</f>
        <v>16</v>
      </c>
      <c r="U4" s="24">
        <f>S4/R4</f>
        <v>0.23333333333333334</v>
      </c>
      <c r="V4" s="76"/>
      <c r="W4" s="63"/>
    </row>
    <row r="5" spans="1:23" ht="15" thickBot="1" x14ac:dyDescent="0.35">
      <c r="A5" s="17" t="s">
        <v>53</v>
      </c>
      <c r="B5" s="18">
        <f>SUM(Datasheet!G:G)</f>
        <v>119</v>
      </c>
      <c r="E5" s="17" t="s">
        <v>28</v>
      </c>
      <c r="F5" s="63">
        <f>SUMIFS(Datasheet!H:H,Datasheet!D:D,E5)</f>
        <v>173000</v>
      </c>
      <c r="G5" s="63">
        <f>SUMIFS(Datasheet!J:J,Datasheet!D:D,E5)</f>
        <v>49200</v>
      </c>
      <c r="H5" s="24">
        <f>G5/F5</f>
        <v>0.28439306358381505</v>
      </c>
      <c r="I5" s="76"/>
      <c r="K5" s="19" t="s">
        <v>15</v>
      </c>
      <c r="L5" s="20">
        <f>SUMIFS(Datasheet!$H:$H,Datasheet!$C:$C,K5)</f>
        <v>138000</v>
      </c>
      <c r="M5" s="20">
        <f>SUMIFS(Datasheet!$J:$J,Datasheet!$C:$C,K5)</f>
        <v>45200</v>
      </c>
      <c r="N5" s="25">
        <f>M5/L5</f>
        <v>0.32753623188405795</v>
      </c>
      <c r="O5" s="76"/>
      <c r="P5" s="65"/>
      <c r="Q5" s="17" t="s">
        <v>29</v>
      </c>
      <c r="R5" s="68">
        <f>SUMIFS(Datasheet!$H:$H,Datasheet!$F:$F,'16-FinalAssesment'!Q6)</f>
        <v>84000</v>
      </c>
      <c r="S5" s="69">
        <f>SUMIFS(Datasheet!$J:$J,Datasheet!$F:$F,'16-FinalAssesment'!Q6)</f>
        <v>33600</v>
      </c>
      <c r="T5" s="69">
        <f>SUMIFS(Datasheet!G:G,Datasheet!F:F,'16-FinalAssesment'!Q5)</f>
        <v>13</v>
      </c>
      <c r="U5" s="24">
        <f>S5/R5</f>
        <v>0.4</v>
      </c>
      <c r="V5" s="76"/>
      <c r="W5" s="63"/>
    </row>
    <row r="6" spans="1:23" ht="15" thickBot="1" x14ac:dyDescent="0.35">
      <c r="A6" s="19" t="s">
        <v>54</v>
      </c>
      <c r="B6" s="25">
        <f>SUM(Datasheet!J:J)/SUM(Datasheet!H:H)</f>
        <v>0.22039355992844364</v>
      </c>
      <c r="E6" s="19" t="s">
        <v>16</v>
      </c>
      <c r="F6" s="20">
        <f>SUMIFS(Datasheet!H:H,Datasheet!D:D,E6)</f>
        <v>138000</v>
      </c>
      <c r="G6" s="20">
        <f>SUMIFS(Datasheet!J:J,Datasheet!D:D,E6)</f>
        <v>45200</v>
      </c>
      <c r="H6" s="25">
        <f>G6/F6</f>
        <v>0.32753623188405795</v>
      </c>
      <c r="I6" s="76"/>
      <c r="K6" s="64"/>
      <c r="L6" s="63"/>
      <c r="M6" s="63"/>
      <c r="N6" s="63"/>
      <c r="O6" s="63"/>
      <c r="P6" s="65"/>
      <c r="Q6" s="19" t="s">
        <v>25</v>
      </c>
      <c r="R6" s="74">
        <f>SUMIFS(Datasheet!$H:$H,Datasheet!$F:$F,'16-FinalAssesment'!Q5)</f>
        <v>78000</v>
      </c>
      <c r="S6" s="75">
        <f>SUMIFS(Datasheet!$J:$J,Datasheet!$F:$F,'16-FinalAssesment'!Q5)</f>
        <v>26000</v>
      </c>
      <c r="T6" s="75">
        <f>SUMIFS(Datasheet!G:G,Datasheet!F:F,'16-FinalAssesment'!Q6)</f>
        <v>28</v>
      </c>
      <c r="U6" s="25">
        <f>S6/R6</f>
        <v>0.33333333333333331</v>
      </c>
      <c r="V6" s="76"/>
      <c r="W6" s="63"/>
    </row>
    <row r="7" spans="1:23" ht="15" thickBot="1" x14ac:dyDescent="0.35">
      <c r="K7" s="64"/>
      <c r="L7" s="63"/>
      <c r="M7" s="63"/>
      <c r="N7" s="63"/>
      <c r="O7" s="63"/>
      <c r="P7" s="65"/>
      <c r="R7" s="64"/>
      <c r="S7" s="63"/>
      <c r="T7" s="63"/>
      <c r="U7" s="63"/>
      <c r="V7" s="63"/>
      <c r="W7" s="63"/>
    </row>
    <row r="8" spans="1:23" ht="18" x14ac:dyDescent="0.3">
      <c r="E8" s="37" t="s">
        <v>122</v>
      </c>
      <c r="F8" s="40"/>
      <c r="G8" s="40"/>
      <c r="H8" s="40"/>
      <c r="I8" s="41"/>
      <c r="K8" s="37" t="s">
        <v>121</v>
      </c>
      <c r="L8" s="38"/>
      <c r="M8" s="38"/>
      <c r="N8" s="38"/>
      <c r="O8" s="39"/>
      <c r="Q8" s="37" t="s">
        <v>123</v>
      </c>
      <c r="R8" s="40"/>
      <c r="S8" s="40"/>
      <c r="T8" s="41"/>
    </row>
    <row r="9" spans="1:23" ht="28.8" x14ac:dyDescent="0.3">
      <c r="E9" s="15" t="s">
        <v>3</v>
      </c>
      <c r="F9" s="62" t="s">
        <v>119</v>
      </c>
      <c r="G9" s="62" t="s">
        <v>120</v>
      </c>
      <c r="H9" s="62" t="s">
        <v>115</v>
      </c>
      <c r="I9" s="16" t="s">
        <v>116</v>
      </c>
      <c r="K9" s="15" t="s">
        <v>2</v>
      </c>
      <c r="L9" s="3" t="s">
        <v>119</v>
      </c>
      <c r="M9" s="3" t="s">
        <v>120</v>
      </c>
      <c r="N9" s="3" t="s">
        <v>115</v>
      </c>
      <c r="O9" s="16" t="s">
        <v>116</v>
      </c>
      <c r="Q9" s="15" t="s">
        <v>5</v>
      </c>
      <c r="R9" s="3" t="s">
        <v>119</v>
      </c>
      <c r="S9" s="3" t="s">
        <v>120</v>
      </c>
      <c r="T9" s="16" t="s">
        <v>115</v>
      </c>
    </row>
    <row r="10" spans="1:23" x14ac:dyDescent="0.3">
      <c r="E10" s="17" t="s">
        <v>11</v>
      </c>
      <c r="F10" s="63">
        <f>SUMIFS(Datasheet!$H:$H,Datasheet!$D:$D,E10,Datasheet!$B:$B,"&gt;="&amp;DATE(2026,3,1),Datasheet!$B:$B,"&lt;"&amp;DATE(2026,4,1))</f>
        <v>288000</v>
      </c>
      <c r="G10" s="63">
        <f>SUMIFS(Datasheet!$H:$H,Datasheet!$D:$D,E10,Datasheet!$B:$B,"&gt;="&amp;DATE(2026,4,1),Datasheet!$B:$B,"&lt;"&amp;DATE(2026,5,1))</f>
        <v>60000</v>
      </c>
      <c r="H10" s="63">
        <f>G10-F10</f>
        <v>-228000</v>
      </c>
      <c r="I10" s="24">
        <f>H10/F10</f>
        <v>-0.79166666666666663</v>
      </c>
      <c r="K10" s="17" t="s">
        <v>10</v>
      </c>
      <c r="L10" s="2">
        <f>SUMIFS(Datasheet!$H:$H,Datasheet!$C:$C,K10,Datasheet!$B:$B,"&gt;="&amp;DATE(2026,3,1),Datasheet!$B:$B,"&lt;"&amp;DATE(2026,4,1))</f>
        <v>688000</v>
      </c>
      <c r="M10" s="2">
        <f>SUMIFS(Datasheet!$H:$H,Datasheet!$C:$C,K10,Datasheet!$B:$B,"&gt;="&amp;DATE(2026,4,1),Datasheet!$B:$B,"&lt;"&amp;DATE(2026,5,1))</f>
        <v>300000</v>
      </c>
      <c r="N10" s="2">
        <f>M10-L10</f>
        <v>-388000</v>
      </c>
      <c r="O10" s="24">
        <f>N10/L10</f>
        <v>-0.56395348837209303</v>
      </c>
      <c r="Q10" s="17" t="s">
        <v>13</v>
      </c>
      <c r="R10" s="2">
        <f>SUMIFS(Datasheet!$H:$H,Datasheet!F:F,Q10,Datasheet!$B:$B,"&gt;="&amp;DATE(2026,3,1),Datasheet!$B:$B,"&lt;"&amp;DATE(2026,4,1))</f>
        <v>560000</v>
      </c>
      <c r="S10" s="2">
        <f>SUMIFS(Datasheet!$H:$H,Datasheet!F:F,Q10,Datasheet!$B:$B,"&gt;="&amp;DATE(2026,4,1),Datasheet!$B:$B,"&lt;"&amp;DATE(2026,5,1))</f>
        <v>400000</v>
      </c>
      <c r="T10" s="18">
        <f>S10-R10</f>
        <v>-160000</v>
      </c>
    </row>
    <row r="11" spans="1:23" x14ac:dyDescent="0.3">
      <c r="E11" s="17" t="s">
        <v>16</v>
      </c>
      <c r="F11" s="63">
        <f>SUMIFS(Datasheet!$H:$H,Datasheet!$D:$D,E11,Datasheet!$B:$B,"&gt;="&amp;DATE(2026,3,1),Datasheet!$B:$B,"&lt;"&amp;DATE(2026,4,1))</f>
        <v>108000</v>
      </c>
      <c r="G11" s="63">
        <f>SUMIFS(Datasheet!$H:$H,Datasheet!$D:$D,E11,Datasheet!$B:$B,"&gt;="&amp;DATE(2026,4,1),Datasheet!$B:$B,"&lt;"&amp;DATE(2026,5,1))</f>
        <v>30000</v>
      </c>
      <c r="H11" s="63">
        <f t="shared" ref="H11:H14" si="0">G11-F11</f>
        <v>-78000</v>
      </c>
      <c r="I11" s="24">
        <f t="shared" ref="I11:I14" si="1">H11/F11</f>
        <v>-0.72222222222222221</v>
      </c>
      <c r="K11" s="17" t="s">
        <v>15</v>
      </c>
      <c r="L11" s="2">
        <f>SUMIFS(Datasheet!$H:$H,Datasheet!$C:$C,K11,Datasheet!$B:$B,"&gt;="&amp;DATE(2026,3,1),Datasheet!$B:$B,"&lt;"&amp;DATE(2026,4,1))</f>
        <v>108000</v>
      </c>
      <c r="M11" s="2">
        <f>SUMIFS(Datasheet!$H:$H,Datasheet!$C:$C,K11,Datasheet!$B:$B,"&gt;="&amp;DATE(2026,4,1),Datasheet!$B:$B,"&lt;"&amp;DATE(2026,5,1))</f>
        <v>30000</v>
      </c>
      <c r="N11" s="2">
        <f t="shared" ref="N11:N13" si="2">M11-L11</f>
        <v>-78000</v>
      </c>
      <c r="O11" s="24">
        <f t="shared" ref="O11:O13" si="3">N11/L11</f>
        <v>-0.72222222222222221</v>
      </c>
      <c r="Q11" s="17" t="s">
        <v>18</v>
      </c>
      <c r="R11" s="2">
        <f>SUMIFS(Datasheet!$H:$H,Datasheet!F:F,Q11,Datasheet!$B:$B,"&gt;="&amp;DATE(2026,3,1),Datasheet!$B:$B,"&lt;"&amp;DATE(2026,4,1))</f>
        <v>45000</v>
      </c>
      <c r="S11" s="2">
        <f>SUMIFS(Datasheet!$H:$H,Datasheet!F:F,Q11,Datasheet!$B:$B,"&gt;="&amp;DATE(2026,4,1),Datasheet!$B:$B,"&lt;"&amp;DATE(2026,5,1))</f>
        <v>30000</v>
      </c>
      <c r="T11" s="18">
        <f t="shared" ref="T11:T14" si="4">S11-R11</f>
        <v>-15000</v>
      </c>
    </row>
    <row r="12" spans="1:23" x14ac:dyDescent="0.3">
      <c r="E12" s="17" t="s">
        <v>20</v>
      </c>
      <c r="F12" s="63">
        <f>SUMIFS(Datasheet!$H:$H,Datasheet!$D:$D,E12,Datasheet!$B:$B,"&gt;="&amp;DATE(2026,3,1),Datasheet!$B:$B,"&lt;"&amp;DATE(2026,4,1))</f>
        <v>400000</v>
      </c>
      <c r="G12" s="63">
        <f>SUMIFS(Datasheet!$H:$H,Datasheet!$D:$D,E12,Datasheet!$B:$B,"&gt;="&amp;DATE(2026,4,1),Datasheet!$B:$B,"&lt;"&amp;DATE(2026,5,1))</f>
        <v>240000</v>
      </c>
      <c r="H12" s="63">
        <f t="shared" si="0"/>
        <v>-160000</v>
      </c>
      <c r="I12" s="24">
        <f t="shared" si="1"/>
        <v>-0.4</v>
      </c>
      <c r="K12" s="17" t="s">
        <v>23</v>
      </c>
      <c r="L12" s="2">
        <f>SUMIFS(Datasheet!$H:$H,Datasheet!$C:$C,K12,Datasheet!$B:$B,"&gt;="&amp;DATE(2026,3,1),Datasheet!$B:$B,"&lt;"&amp;DATE(2026,4,1))</f>
        <v>218000</v>
      </c>
      <c r="M12" s="2">
        <f>SUMIFS(Datasheet!$H:$H,Datasheet!$C:$C,K12,Datasheet!$B:$B,"&gt;="&amp;DATE(2026,4,1),Datasheet!$B:$B,"&lt;"&amp;DATE(2026,5,1))</f>
        <v>160000</v>
      </c>
      <c r="N12" s="2">
        <f t="shared" si="2"/>
        <v>-58000</v>
      </c>
      <c r="O12" s="24">
        <f t="shared" si="3"/>
        <v>-0.26605504587155965</v>
      </c>
      <c r="Q12" s="17" t="s">
        <v>21</v>
      </c>
      <c r="R12" s="2">
        <f>SUMIFS(Datasheet!$H:$H,Datasheet!F:F,Q12,Datasheet!$B:$B,"&gt;="&amp;DATE(2026,3,1),Datasheet!$B:$B,"&lt;"&amp;DATE(2026,4,1))</f>
        <v>420000</v>
      </c>
      <c r="S12" s="2">
        <f>SUMIFS(Datasheet!$H:$H,Datasheet!F:F,Q12,Datasheet!$B:$B,"&gt;="&amp;DATE(2026,4,1),Datasheet!$B:$B,"&lt;"&amp;DATE(2026,5,1))</f>
        <v>60000</v>
      </c>
      <c r="T12" s="18">
        <f t="shared" si="4"/>
        <v>-360000</v>
      </c>
    </row>
    <row r="13" spans="1:23" ht="15" thickBot="1" x14ac:dyDescent="0.35">
      <c r="E13" s="17" t="s">
        <v>24</v>
      </c>
      <c r="F13" s="63">
        <f>SUMIFS(Datasheet!$H:$H,Datasheet!$D:$D,E13,Datasheet!$B:$B,"&gt;="&amp;DATE(2026,3,1),Datasheet!$B:$B,"&lt;"&amp;DATE(2026,4,1))</f>
        <v>218000</v>
      </c>
      <c r="G13" s="63">
        <f>SUMIFS(Datasheet!$H:$H,Datasheet!$D:$D,E13,Datasheet!$B:$B,"&gt;="&amp;DATE(2026,4,1),Datasheet!$B:$B,"&lt;"&amp;DATE(2026,5,1))</f>
        <v>160000</v>
      </c>
      <c r="H13" s="63">
        <f t="shared" si="0"/>
        <v>-58000</v>
      </c>
      <c r="I13" s="24">
        <f t="shared" si="1"/>
        <v>-0.26605504587155965</v>
      </c>
      <c r="K13" s="19" t="s">
        <v>27</v>
      </c>
      <c r="L13" s="20">
        <f>SUMIFS(Datasheet!$H:$H,Datasheet!$C:$C,K13,Datasheet!$B:$B,"&gt;="&amp;DATE(2026,3,1),Datasheet!$B:$B,"&lt;"&amp;DATE(2026,4,1))</f>
        <v>137000</v>
      </c>
      <c r="M13" s="20">
        <f>SUMIFS(Datasheet!$H:$H,Datasheet!$C:$C,K13,Datasheet!$B:$B,"&gt;="&amp;DATE(2026,4,1),Datasheet!$B:$B,"&lt;"&amp;DATE(2026,5,1))</f>
        <v>36000</v>
      </c>
      <c r="N13" s="20">
        <f t="shared" si="2"/>
        <v>-101000</v>
      </c>
      <c r="O13" s="25">
        <f t="shared" si="3"/>
        <v>-0.73722627737226276</v>
      </c>
      <c r="Q13" s="17" t="s">
        <v>25</v>
      </c>
      <c r="R13" s="2">
        <f>SUMIFS(Datasheet!$H:$H,Datasheet!F:F,Q13,Datasheet!$B:$B,"&gt;="&amp;DATE(2026,3,1),Datasheet!$B:$B,"&lt;"&amp;DATE(2026,4,1))</f>
        <v>48000</v>
      </c>
      <c r="S13" s="2">
        <f>SUMIFS(Datasheet!$H:$H,Datasheet!F:F,Q13,Datasheet!$B:$B,"&gt;="&amp;DATE(2026,4,1),Datasheet!$B:$B,"&lt;"&amp;DATE(2026,5,1))</f>
        <v>36000</v>
      </c>
      <c r="T13" s="18">
        <f t="shared" si="4"/>
        <v>-12000</v>
      </c>
    </row>
    <row r="14" spans="1:23" ht="15" thickBot="1" x14ac:dyDescent="0.35">
      <c r="E14" s="19" t="s">
        <v>28</v>
      </c>
      <c r="F14" s="20">
        <f>SUMIFS(Datasheet!$H:$H,Datasheet!$D:$D,E14,Datasheet!$B:$B,"&gt;="&amp;DATE(2026,3,1),Datasheet!$B:$B,"&lt;"&amp;DATE(2026,4,1))</f>
        <v>137000</v>
      </c>
      <c r="G14" s="20">
        <f>SUMIFS(Datasheet!$H:$H,Datasheet!$D:$D,E14,Datasheet!$B:$B,"&gt;="&amp;DATE(2026,4,1),Datasheet!$B:$B,"&lt;"&amp;DATE(2026,5,1))</f>
        <v>36000</v>
      </c>
      <c r="H14" s="20">
        <f t="shared" si="0"/>
        <v>-101000</v>
      </c>
      <c r="I14" s="25">
        <f t="shared" si="1"/>
        <v>-0.73722627737226276</v>
      </c>
      <c r="Q14" s="19" t="s">
        <v>29</v>
      </c>
      <c r="R14" s="20">
        <f>SUMIFS(Datasheet!$H:$H,Datasheet!F:F,Q14,Datasheet!$B:$B,"&gt;="&amp;DATE(2026,3,1),Datasheet!$B:$B,"&lt;"&amp;DATE(2026,4,1))</f>
        <v>78000</v>
      </c>
      <c r="S14" s="20">
        <f>SUMIFS(Datasheet!$H:$H,Datasheet!F:F,Q14,Datasheet!$B:$B,"&gt;="&amp;DATE(2026,4,1),Datasheet!$B:$B,"&lt;"&amp;DATE(2026,5,1))</f>
        <v>0</v>
      </c>
      <c r="T14" s="21">
        <f t="shared" si="4"/>
        <v>-78000</v>
      </c>
    </row>
    <row r="24" spans="1:3" x14ac:dyDescent="0.3">
      <c r="A24" s="35" t="s">
        <v>142</v>
      </c>
      <c r="C24" t="s">
        <v>143</v>
      </c>
    </row>
    <row r="25" spans="1:3" x14ac:dyDescent="0.3">
      <c r="A25" s="35"/>
    </row>
    <row r="26" spans="1:3" x14ac:dyDescent="0.3">
      <c r="A26" s="35" t="s">
        <v>144</v>
      </c>
      <c r="C26" t="s">
        <v>153</v>
      </c>
    </row>
    <row r="27" spans="1:3" x14ac:dyDescent="0.3">
      <c r="A27" s="35"/>
      <c r="C27" t="s">
        <v>154</v>
      </c>
    </row>
    <row r="28" spans="1:3" x14ac:dyDescent="0.3">
      <c r="A28" s="35"/>
    </row>
    <row r="29" spans="1:3" x14ac:dyDescent="0.3">
      <c r="A29" s="35" t="s">
        <v>145</v>
      </c>
      <c r="C29" t="s">
        <v>146</v>
      </c>
    </row>
    <row r="30" spans="1:3" x14ac:dyDescent="0.3">
      <c r="C30" t="s">
        <v>147</v>
      </c>
    </row>
    <row r="31" spans="1:3" x14ac:dyDescent="0.3">
      <c r="C31" t="s">
        <v>148</v>
      </c>
    </row>
    <row r="33" spans="1:7" x14ac:dyDescent="0.3">
      <c r="A33" s="35" t="s">
        <v>130</v>
      </c>
      <c r="C33" t="s">
        <v>137</v>
      </c>
    </row>
    <row r="34" spans="1:7" x14ac:dyDescent="0.3">
      <c r="C34" t="s">
        <v>138</v>
      </c>
    </row>
    <row r="35" spans="1:7" x14ac:dyDescent="0.3">
      <c r="C35" t="s">
        <v>139</v>
      </c>
    </row>
    <row r="37" spans="1:7" x14ac:dyDescent="0.3">
      <c r="A37" s="35" t="s">
        <v>149</v>
      </c>
      <c r="C37" t="s">
        <v>151</v>
      </c>
      <c r="G37" t="s">
        <v>155</v>
      </c>
    </row>
    <row r="38" spans="1:7" x14ac:dyDescent="0.3">
      <c r="C38" t="s">
        <v>152</v>
      </c>
      <c r="G38" t="s">
        <v>156</v>
      </c>
    </row>
    <row r="39" spans="1:7" x14ac:dyDescent="0.3">
      <c r="C39" t="s">
        <v>150</v>
      </c>
      <c r="G39" t="s">
        <v>157</v>
      </c>
    </row>
  </sheetData>
  <sortState xmlns:xlrd2="http://schemas.microsoft.com/office/spreadsheetml/2017/richdata2" ref="Q2:U6">
    <sortCondition descending="1" ref="R2:R6"/>
  </sortState>
  <mergeCells count="3">
    <mergeCell ref="Q8:T8"/>
    <mergeCell ref="K8:O8"/>
    <mergeCell ref="E8:I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Datasheet</vt:lpstr>
      <vt:lpstr>Analysis</vt:lpstr>
      <vt:lpstr>12-Pivot_Analysis</vt:lpstr>
      <vt:lpstr>13-Dashboard</vt:lpstr>
      <vt:lpstr>14-CaseStudy</vt:lpstr>
      <vt:lpstr>15-MiniProject</vt:lpstr>
      <vt:lpstr>16-FinalAssesment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Jaiswal</dc:creator>
  <cp:lastModifiedBy>Anjali Jaiswal</cp:lastModifiedBy>
  <dcterms:created xsi:type="dcterms:W3CDTF">2026-09-08T17:24:20Z</dcterms:created>
  <dcterms:modified xsi:type="dcterms:W3CDTF">2026-09-11T10:35:48Z</dcterms:modified>
</cp:coreProperties>
</file>