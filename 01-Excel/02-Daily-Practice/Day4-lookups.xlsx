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OneDrive\Desktop\ExcelPractice\"/>
    </mc:Choice>
  </mc:AlternateContent>
  <xr:revisionPtr revIDLastSave="0" documentId="13_ncr:1_{19E0863D-277A-4F5B-86CF-A5163D0E26EF}" xr6:coauthVersionLast="47" xr6:coauthVersionMax="47" xr10:uidLastSave="{00000000-0000-0000-0000-000000000000}"/>
  <bookViews>
    <workbookView xWindow="-108" yWindow="-108" windowWidth="23256" windowHeight="12456" activeTab="2" xr2:uid="{F0BCFB1A-093F-4059-B850-5D8499BCED16}"/>
  </bookViews>
  <sheets>
    <sheet name="Sales" sheetId="1" r:id="rId1"/>
    <sheet name="Employees" sheetId="2" r:id="rId2"/>
    <sheet name="Analysi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E3" i="4"/>
  <c r="E4" i="4"/>
  <c r="E5" i="4"/>
  <c r="E6" i="4"/>
  <c r="E7" i="4"/>
  <c r="E2" i="4"/>
  <c r="D3" i="4"/>
  <c r="D4" i="4"/>
  <c r="D5" i="4"/>
  <c r="D6" i="4"/>
  <c r="D7" i="4"/>
  <c r="D2" i="4"/>
  <c r="B3" i="4"/>
  <c r="B4" i="4"/>
  <c r="B5" i="4"/>
  <c r="B6" i="4"/>
  <c r="B7" i="4"/>
  <c r="B2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<sst xmlns="http://schemas.openxmlformats.org/spreadsheetml/2006/main" count="113" uniqueCount="54">
  <si>
    <t>Order ID</t>
  </si>
  <si>
    <t>Date</t>
  </si>
  <si>
    <t>Employee ID</t>
  </si>
  <si>
    <t>Product</t>
  </si>
  <si>
    <t>Region</t>
  </si>
  <si>
    <t>Sales</t>
  </si>
  <si>
    <t>O001</t>
  </si>
  <si>
    <t>E001</t>
  </si>
  <si>
    <t>Laptop Stand</t>
  </si>
  <si>
    <t>Kathmandu</t>
  </si>
  <si>
    <t>O002</t>
  </si>
  <si>
    <t>E003</t>
  </si>
  <si>
    <t>Mouse</t>
  </si>
  <si>
    <t>Pokhara</t>
  </si>
  <si>
    <t>O003</t>
  </si>
  <si>
    <t>E002</t>
  </si>
  <si>
    <t>Keyboard</t>
  </si>
  <si>
    <t>O004</t>
  </si>
  <si>
    <t>E005</t>
  </si>
  <si>
    <t>Monitor</t>
  </si>
  <si>
    <t>Lalitpur</t>
  </si>
  <si>
    <t>O005</t>
  </si>
  <si>
    <t>E004</t>
  </si>
  <si>
    <t>USB Hub</t>
  </si>
  <si>
    <t>Bharatpur</t>
  </si>
  <si>
    <t>O006</t>
  </si>
  <si>
    <t>Headphones</t>
  </si>
  <si>
    <t>O007</t>
  </si>
  <si>
    <t>E006</t>
  </si>
  <si>
    <t>Webcam</t>
  </si>
  <si>
    <t>O008</t>
  </si>
  <si>
    <t>O009</t>
  </si>
  <si>
    <t>O010</t>
  </si>
  <si>
    <t>O011</t>
  </si>
  <si>
    <t>O012</t>
  </si>
  <si>
    <t>O013</t>
  </si>
  <si>
    <t>O014</t>
  </si>
  <si>
    <t>O015</t>
  </si>
  <si>
    <t>Employee Name</t>
  </si>
  <si>
    <t>Department</t>
  </si>
  <si>
    <t>Job Level</t>
  </si>
  <si>
    <t>Joining Date</t>
  </si>
  <si>
    <t>Asha</t>
  </si>
  <si>
    <t>Senior</t>
  </si>
  <si>
    <t>Sita</t>
  </si>
  <si>
    <t>Mid</t>
  </si>
  <si>
    <t>Ravi</t>
  </si>
  <si>
    <t>Junior</t>
  </si>
  <si>
    <t>Pooja</t>
  </si>
  <si>
    <t>Kiran</t>
  </si>
  <si>
    <t>Amit</t>
  </si>
  <si>
    <t>E099</t>
  </si>
  <si>
    <t>Total Sales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</si>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</sst>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15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EAC7-D48F-4D33-9703-13766B5CF3B2}">
  <dimension ref="A1:O17"/>
  <sheetViews>
    <sheetView workbookViewId="0">
      <selection activeCell="I20" sqref="I20"/>
    </sheetView>
  </sheetViews>
  <sheetFormatPr defaultRowHeight="14.4" x14ac:dyDescent="0.3"/>
  <cols>
    <col min="3" max="3" width="12.77734375" customWidth="1"/>
    <col min="4" max="4" width="12.5546875" customWidth="1"/>
    <col min="5" max="5" width="10.21875" customWidth="1"/>
    <col min="8" max="8" width="15.44140625" customWidth="1"/>
    <col min="9" max="9" width="11.109375" bestFit="1" customWidth="1"/>
    <col min="11" max="11" width="11.21875" bestFit="1" customWidth="1"/>
    <col min="13" max="13" width="14.88671875" bestFit="1" customWidth="1"/>
    <col min="15" max="15" width="14.6640625" bestFit="1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/>
      <c r="H1" s="5" t="s">
        <v>38</v>
      </c>
      <c r="I1" s="10" t="s">
        <v>39</v>
      </c>
      <c r="J1" s="10" t="s">
        <v>40</v>
      </c>
      <c r="K1" s="10" t="s">
        <v>41</v>
      </c>
      <c r="M1" s="10" t="s">
        <v>38</v>
      </c>
      <c r="O1" s="10" t="s">
        <v>38</v>
      </c>
    </row>
    <row r="2" spans="1:15" x14ac:dyDescent="0.3">
      <c r="A2" s="7" t="s">
        <v>6</v>
      </c>
      <c r="B2" s="8">
        <v>46023</v>
      </c>
      <c r="C2" s="7" t="s">
        <v>7</v>
      </c>
      <c r="D2" s="7" t="s">
        <v>8</v>
      </c>
      <c r="E2" s="7" t="s">
        <v>9</v>
      </c>
      <c r="F2" s="9">
        <v>30000</v>
      </c>
      <c r="G2" s="9"/>
      <c r="H2" s="4" t="str">
        <f>_xlfn.XLOOKUP(C2,Employees!$A$2:$A$7,Employees!$B$2:$B$7,"not found")</f>
        <v>Asha</v>
      </c>
      <c r="I2" t="str">
        <f>_xlfn.XLOOKUP(C2,Employees!$A$2:$A$7,Employees!$C$2:$C$7,"Not Found")</f>
        <v>Sales</v>
      </c>
      <c r="J2" t="str">
        <f>_xlfn.XLOOKUP(C2,Employees!$A$2:$A$7,Employees!$D$2:$D$7,"Not Found")</f>
        <v>Senior</v>
      </c>
      <c r="K2" s="11">
        <f>_xlfn.XLOOKUP(C2,Employees!$A$2:$A$7,Employees!$E$2:$E$7,"Not Found")</f>
        <v>44972</v>
      </c>
      <c r="M2" t="str">
        <f>IFERROR(VLOOKUP(C2,Employees!$A$2:$E$7,2,FALSE),"Not Found")</f>
        <v>Asha</v>
      </c>
      <c r="O2" t="str">
        <f>INDEX(Employees!$B$2:$B$7,MATCH(C2,Employees!$A$2:$A$7,0))</f>
        <v>Asha</v>
      </c>
    </row>
    <row r="3" spans="1:15" x14ac:dyDescent="0.3">
      <c r="A3" s="7" t="s">
        <v>10</v>
      </c>
      <c r="B3" s="8">
        <v>46024</v>
      </c>
      <c r="C3" s="7" t="s">
        <v>11</v>
      </c>
      <c r="D3" s="7" t="s">
        <v>12</v>
      </c>
      <c r="E3" s="7" t="s">
        <v>13</v>
      </c>
      <c r="F3" s="9">
        <v>37500</v>
      </c>
      <c r="G3" s="9"/>
      <c r="H3" s="4" t="str">
        <f>_xlfn.XLOOKUP(C3,Employees!$A$2:$A$7,Employees!$B$2:$B$7,"not found")</f>
        <v>Ravi</v>
      </c>
      <c r="I3" t="str">
        <f>_xlfn.XLOOKUP(C3,Employees!$A$2:$A$7,Employees!$C$2:$C$7,"Not Found")</f>
        <v>Sales</v>
      </c>
      <c r="J3" t="str">
        <f>_xlfn.XLOOKUP(C3,Employees!$A$2:$A$7,Employees!$D$2:$D$7,"Not Found")</f>
        <v>Junior</v>
      </c>
      <c r="K3" s="11">
        <f>_xlfn.XLOOKUP(C3,Employees!$A$2:$A$7,Employees!$E$2:$E$7,"Not Found")</f>
        <v>45677</v>
      </c>
      <c r="M3" t="str">
        <f>IFERROR(VLOOKUP(C3,Employees!$A$2:$E$7,2,FALSE),"Not Found")</f>
        <v>Ravi</v>
      </c>
      <c r="O3" t="str">
        <f>INDEX(Employees!$B$2:$B$7,MATCH(C3,Employees!$A$2:$A$7,0))</f>
        <v>Ravi</v>
      </c>
    </row>
    <row r="4" spans="1:15" x14ac:dyDescent="0.3">
      <c r="A4" s="7" t="s">
        <v>14</v>
      </c>
      <c r="B4" s="8">
        <v>46025</v>
      </c>
      <c r="C4" s="7" t="s">
        <v>15</v>
      </c>
      <c r="D4" s="7" t="s">
        <v>16</v>
      </c>
      <c r="E4" s="7" t="s">
        <v>9</v>
      </c>
      <c r="F4" s="9">
        <v>39600</v>
      </c>
      <c r="G4" s="9"/>
      <c r="H4" s="4" t="str">
        <f>_xlfn.XLOOKUP(C4,Employees!$A$2:$A$7,Employees!$B$2:$B$7,"not found")</f>
        <v>Sita</v>
      </c>
      <c r="I4" t="str">
        <f>_xlfn.XLOOKUP(C4,Employees!$A$2:$A$7,Employees!$C$2:$C$7,"Not Found")</f>
        <v>Sales</v>
      </c>
      <c r="J4" t="str">
        <f>_xlfn.XLOOKUP(C4,Employees!$A$2:$A$7,Employees!$D$2:$D$7,"Not Found")</f>
        <v>Mid</v>
      </c>
      <c r="K4" s="11">
        <f>_xlfn.XLOOKUP(C4,Employees!$A$2:$A$7,Employees!$E$2:$E$7,"Not Found")</f>
        <v>45514</v>
      </c>
      <c r="M4" t="str">
        <f>IFERROR(VLOOKUP(C4,Employees!$A$2:$E$7,2,FALSE),"Not Found")</f>
        <v>Sita</v>
      </c>
      <c r="O4" t="str">
        <f>INDEX(Employees!$B$2:$B$7,MATCH(C4,Employees!$A$2:$A$7,0))</f>
        <v>Sita</v>
      </c>
    </row>
    <row r="5" spans="1:15" x14ac:dyDescent="0.3">
      <c r="A5" s="7" t="s">
        <v>17</v>
      </c>
      <c r="B5" s="8">
        <v>46026</v>
      </c>
      <c r="C5" s="7" t="s">
        <v>18</v>
      </c>
      <c r="D5" s="7" t="s">
        <v>19</v>
      </c>
      <c r="E5" s="7" t="s">
        <v>20</v>
      </c>
      <c r="F5" s="9">
        <v>148000</v>
      </c>
      <c r="G5" s="9"/>
      <c r="H5" s="4" t="str">
        <f>_xlfn.XLOOKUP(C5,Employees!$A$2:$A$7,Employees!$B$2:$B$7,"not found")</f>
        <v>Kiran</v>
      </c>
      <c r="I5" t="str">
        <f>_xlfn.XLOOKUP(C5,Employees!$A$2:$A$7,Employees!$C$2:$C$7,"Not Found")</f>
        <v>Sales</v>
      </c>
      <c r="J5" t="str">
        <f>_xlfn.XLOOKUP(C5,Employees!$A$2:$A$7,Employees!$D$2:$D$7,"Not Found")</f>
        <v>Senior</v>
      </c>
      <c r="K5" s="11">
        <f>_xlfn.XLOOKUP(C5,Employees!$A$2:$A$7,Employees!$E$2:$E$7,"Not Found")</f>
        <v>44632</v>
      </c>
      <c r="M5" t="str">
        <f>IFERROR(VLOOKUP(C5,Employees!$A$2:$E$7,2,FALSE),"Not Found")</f>
        <v>Kiran</v>
      </c>
      <c r="O5" t="str">
        <f>INDEX(Employees!$B$2:$B$7,MATCH(C5,Employees!$A$2:$A$7,0))</f>
        <v>Kiran</v>
      </c>
    </row>
    <row r="6" spans="1:15" x14ac:dyDescent="0.3">
      <c r="A6" s="7" t="s">
        <v>21</v>
      </c>
      <c r="B6" s="8">
        <v>46027</v>
      </c>
      <c r="C6" s="7" t="s">
        <v>22</v>
      </c>
      <c r="D6" s="7" t="s">
        <v>23</v>
      </c>
      <c r="E6" s="7" t="s">
        <v>24</v>
      </c>
      <c r="F6" s="9">
        <v>54000</v>
      </c>
      <c r="G6" s="9"/>
      <c r="H6" s="4" t="str">
        <f>_xlfn.XLOOKUP(C6,Employees!$A$2:$A$7,Employees!$B$2:$B$7,"not found")</f>
        <v>Pooja</v>
      </c>
      <c r="I6" t="str">
        <f>_xlfn.XLOOKUP(C6,Employees!$A$2:$A$7,Employees!$C$2:$C$7,"Not Found")</f>
        <v>Sales</v>
      </c>
      <c r="J6" t="str">
        <f>_xlfn.XLOOKUP(C6,Employees!$A$2:$A$7,Employees!$D$2:$D$7,"Not Found")</f>
        <v>Mid</v>
      </c>
      <c r="K6" s="11">
        <f>_xlfn.XLOOKUP(C6,Employees!$A$2:$A$7,Employees!$E$2:$E$7,"Not Found")</f>
        <v>45417</v>
      </c>
      <c r="M6" t="str">
        <f>IFERROR(VLOOKUP(C6,Employees!$A$2:$E$7,2,FALSE),"Not Found")</f>
        <v>Pooja</v>
      </c>
      <c r="O6" t="str">
        <f>INDEX(Employees!$B$2:$B$7,MATCH(C6,Employees!$A$2:$A$7,0))</f>
        <v>Pooja</v>
      </c>
    </row>
    <row r="7" spans="1:15" x14ac:dyDescent="0.3">
      <c r="A7" s="7" t="s">
        <v>25</v>
      </c>
      <c r="B7" s="8">
        <v>46028</v>
      </c>
      <c r="C7" s="7" t="s">
        <v>7</v>
      </c>
      <c r="D7" s="7" t="s">
        <v>26</v>
      </c>
      <c r="E7" s="7" t="s">
        <v>9</v>
      </c>
      <c r="F7" s="9">
        <v>67500</v>
      </c>
      <c r="G7" s="9"/>
      <c r="H7" s="4" t="str">
        <f>_xlfn.XLOOKUP(C7,Employees!$A$2:$A$7,Employees!$B$2:$B$7,"not found")</f>
        <v>Asha</v>
      </c>
      <c r="I7" t="str">
        <f>_xlfn.XLOOKUP(C7,Employees!$A$2:$A$7,Employees!$C$2:$C$7,"Not Found")</f>
        <v>Sales</v>
      </c>
      <c r="J7" t="str">
        <f>_xlfn.XLOOKUP(C7,Employees!$A$2:$A$7,Employees!$D$2:$D$7,"Not Found")</f>
        <v>Senior</v>
      </c>
      <c r="K7" s="11">
        <f>_xlfn.XLOOKUP(C7,Employees!$A$2:$A$7,Employees!$E$2:$E$7,"Not Found")</f>
        <v>44972</v>
      </c>
      <c r="M7" t="str">
        <f>IFERROR(VLOOKUP(C7,Employees!$A$2:$E$7,2,FALSE),"Not Found")</f>
        <v>Asha</v>
      </c>
      <c r="O7" t="str">
        <f>INDEX(Employees!$B$2:$B$7,MATCH(C7,Employees!$A$2:$A$7,0))</f>
        <v>Asha</v>
      </c>
    </row>
    <row r="8" spans="1:15" x14ac:dyDescent="0.3">
      <c r="A8" s="7" t="s">
        <v>27</v>
      </c>
      <c r="B8" s="8">
        <v>46029</v>
      </c>
      <c r="C8" s="7" t="s">
        <v>28</v>
      </c>
      <c r="D8" s="7" t="s">
        <v>29</v>
      </c>
      <c r="E8" s="7" t="s">
        <v>13</v>
      </c>
      <c r="F8" s="9">
        <v>55000</v>
      </c>
      <c r="G8" s="9"/>
      <c r="H8" s="4" t="str">
        <f>_xlfn.XLOOKUP(C8,Employees!$A$2:$A$7,Employees!$B$2:$B$7,"not found")</f>
        <v>Amit</v>
      </c>
      <c r="I8" t="str">
        <f>_xlfn.XLOOKUP(C8,Employees!$A$2:$A$7,Employees!$C$2:$C$7,"Not Found")</f>
        <v>Sales</v>
      </c>
      <c r="J8" t="str">
        <f>_xlfn.XLOOKUP(C8,Employees!$A$2:$A$7,Employees!$D$2:$D$7,"Not Found")</f>
        <v>Junior</v>
      </c>
      <c r="K8" s="11">
        <f>_xlfn.XLOOKUP(C8,Employees!$A$2:$A$7,Employees!$E$2:$E$7,"Not Found")</f>
        <v>45918</v>
      </c>
      <c r="M8" t="str">
        <f>IFERROR(VLOOKUP(C8,Employees!$A$2:$E$7,2,FALSE),"Not Found")</f>
        <v>Amit</v>
      </c>
      <c r="O8" t="str">
        <f>INDEX(Employees!$B$2:$B$7,MATCH(C8,Employees!$A$2:$A$7,0))</f>
        <v>Amit</v>
      </c>
    </row>
    <row r="9" spans="1:15" x14ac:dyDescent="0.3">
      <c r="A9" s="7" t="s">
        <v>30</v>
      </c>
      <c r="B9" s="8">
        <v>46030</v>
      </c>
      <c r="C9" s="7" t="s">
        <v>22</v>
      </c>
      <c r="D9" s="7" t="s">
        <v>16</v>
      </c>
      <c r="E9" s="7" t="s">
        <v>24</v>
      </c>
      <c r="F9" s="9">
        <v>48400</v>
      </c>
      <c r="G9" s="9"/>
      <c r="H9" s="4" t="str">
        <f>_xlfn.XLOOKUP(C9,Employees!$A$2:$A$7,Employees!$B$2:$B$7,"not found")</f>
        <v>Pooja</v>
      </c>
      <c r="I9" t="str">
        <f>_xlfn.XLOOKUP(C9,Employees!$A$2:$A$7,Employees!$C$2:$C$7,"Not Found")</f>
        <v>Sales</v>
      </c>
      <c r="J9" t="str">
        <f>_xlfn.XLOOKUP(C9,Employees!$A$2:$A$7,Employees!$D$2:$D$7,"Not Found")</f>
        <v>Mid</v>
      </c>
      <c r="K9" s="11">
        <f>_xlfn.XLOOKUP(C9,Employees!$A$2:$A$7,Employees!$E$2:$E$7,"Not Found")</f>
        <v>45417</v>
      </c>
      <c r="M9" t="str">
        <f>IFERROR(VLOOKUP(C9,Employees!$A$2:$E$7,2,FALSE),"Not Found")</f>
        <v>Pooja</v>
      </c>
      <c r="O9" t="str">
        <f>INDEX(Employees!$B$2:$B$7,MATCH(C9,Employees!$A$2:$A$7,0))</f>
        <v>Pooja</v>
      </c>
    </row>
    <row r="10" spans="1:15" x14ac:dyDescent="0.3">
      <c r="A10" s="7" t="s">
        <v>31</v>
      </c>
      <c r="B10" s="8">
        <v>46031</v>
      </c>
      <c r="C10" s="7" t="s">
        <v>15</v>
      </c>
      <c r="D10" s="7" t="s">
        <v>8</v>
      </c>
      <c r="E10" s="7" t="s">
        <v>20</v>
      </c>
      <c r="F10" s="9">
        <v>40000</v>
      </c>
      <c r="G10" s="9"/>
      <c r="H10" s="4" t="str">
        <f>_xlfn.XLOOKUP(C10,Employees!$A$2:$A$7,Employees!$B$2:$B$7,"not found")</f>
        <v>Sita</v>
      </c>
      <c r="I10" t="str">
        <f>_xlfn.XLOOKUP(C10,Employees!$A$2:$A$7,Employees!$C$2:$C$7,"Not Found")</f>
        <v>Sales</v>
      </c>
      <c r="J10" t="str">
        <f>_xlfn.XLOOKUP(C10,Employees!$A$2:$A$7,Employees!$D$2:$D$7,"Not Found")</f>
        <v>Mid</v>
      </c>
      <c r="K10" s="11">
        <f>_xlfn.XLOOKUP(C10,Employees!$A$2:$A$7,Employees!$E$2:$E$7,"Not Found")</f>
        <v>45514</v>
      </c>
      <c r="M10" t="str">
        <f>IFERROR(VLOOKUP(C10,Employees!$A$2:$E$7,2,FALSE),"Not Found")</f>
        <v>Sita</v>
      </c>
      <c r="O10" t="str">
        <f>INDEX(Employees!$B$2:$B$7,MATCH(C10,Employees!$A$2:$A$7,0))</f>
        <v>Sita</v>
      </c>
    </row>
    <row r="11" spans="1:15" x14ac:dyDescent="0.3">
      <c r="A11" s="7" t="s">
        <v>32</v>
      </c>
      <c r="B11" s="8">
        <v>46032</v>
      </c>
      <c r="C11" s="7" t="s">
        <v>18</v>
      </c>
      <c r="D11" s="7" t="s">
        <v>19</v>
      </c>
      <c r="E11" s="7" t="s">
        <v>9</v>
      </c>
      <c r="F11" s="9">
        <v>111000</v>
      </c>
      <c r="G11" s="9"/>
      <c r="H11" s="4" t="str">
        <f>_xlfn.XLOOKUP(C11,Employees!$A$2:$A$7,Employees!$B$2:$B$7,"not found")</f>
        <v>Kiran</v>
      </c>
      <c r="I11" t="str">
        <f>_xlfn.XLOOKUP(C11,Employees!$A$2:$A$7,Employees!$C$2:$C$7,"Not Found")</f>
        <v>Sales</v>
      </c>
      <c r="J11" t="str">
        <f>_xlfn.XLOOKUP(C11,Employees!$A$2:$A$7,Employees!$D$2:$D$7,"Not Found")</f>
        <v>Senior</v>
      </c>
      <c r="K11" s="11">
        <f>_xlfn.XLOOKUP(C11,Employees!$A$2:$A$7,Employees!$E$2:$E$7,"Not Found")</f>
        <v>44632</v>
      </c>
      <c r="M11" t="str">
        <f>IFERROR(VLOOKUP(C11,Employees!$A$2:$E$7,2,FALSE),"Not Found")</f>
        <v>Kiran</v>
      </c>
      <c r="O11" t="str">
        <f>INDEX(Employees!$B$2:$B$7,MATCH(C11,Employees!$A$2:$A$7,0))</f>
        <v>Kiran</v>
      </c>
    </row>
    <row r="12" spans="1:15" x14ac:dyDescent="0.3">
      <c r="A12" s="7" t="s">
        <v>33</v>
      </c>
      <c r="B12" s="8">
        <v>46033</v>
      </c>
      <c r="C12" s="7" t="s">
        <v>11</v>
      </c>
      <c r="D12" s="7" t="s">
        <v>12</v>
      </c>
      <c r="E12" s="7" t="s">
        <v>24</v>
      </c>
      <c r="F12" s="9">
        <v>52500</v>
      </c>
      <c r="G12" s="9"/>
      <c r="H12" s="4" t="str">
        <f>_xlfn.XLOOKUP(C12,Employees!$A$2:$A$7,Employees!$B$2:$B$7,"not found")</f>
        <v>Ravi</v>
      </c>
      <c r="I12" t="str">
        <f>_xlfn.XLOOKUP(C12,Employees!$A$2:$A$7,Employees!$C$2:$C$7,"Not Found")</f>
        <v>Sales</v>
      </c>
      <c r="J12" t="str">
        <f>_xlfn.XLOOKUP(C12,Employees!$A$2:$A$7,Employees!$D$2:$D$7,"Not Found")</f>
        <v>Junior</v>
      </c>
      <c r="K12" s="11">
        <f>_xlfn.XLOOKUP(C12,Employees!$A$2:$A$7,Employees!$E$2:$E$7,"Not Found")</f>
        <v>45677</v>
      </c>
      <c r="M12" t="str">
        <f>IFERROR(VLOOKUP(C12,Employees!$A$2:$E$7,2,FALSE),"Not Found")</f>
        <v>Ravi</v>
      </c>
      <c r="O12" t="str">
        <f>INDEX(Employees!$B$2:$B$7,MATCH(C12,Employees!$A$2:$A$7,0))</f>
        <v>Ravi</v>
      </c>
    </row>
    <row r="13" spans="1:15" x14ac:dyDescent="0.3">
      <c r="A13" s="7" t="s">
        <v>34</v>
      </c>
      <c r="B13" s="8">
        <v>46034</v>
      </c>
      <c r="C13" s="7" t="s">
        <v>15</v>
      </c>
      <c r="D13" s="7" t="s">
        <v>26</v>
      </c>
      <c r="E13" s="7" t="s">
        <v>20</v>
      </c>
      <c r="F13" s="9">
        <v>90000</v>
      </c>
      <c r="G13" s="9"/>
      <c r="H13" s="4" t="str">
        <f>_xlfn.XLOOKUP(C13,Employees!$A$2:$A$7,Employees!$B$2:$B$7,"not found")</f>
        <v>Sita</v>
      </c>
      <c r="I13" t="str">
        <f>_xlfn.XLOOKUP(C13,Employees!$A$2:$A$7,Employees!$C$2:$C$7,"Not Found")</f>
        <v>Sales</v>
      </c>
      <c r="J13" t="str">
        <f>_xlfn.XLOOKUP(C13,Employees!$A$2:$A$7,Employees!$D$2:$D$7,"Not Found")</f>
        <v>Mid</v>
      </c>
      <c r="K13" s="11">
        <f>_xlfn.XLOOKUP(C13,Employees!$A$2:$A$7,Employees!$E$2:$E$7,"Not Found")</f>
        <v>45514</v>
      </c>
      <c r="M13" t="str">
        <f>IFERROR(VLOOKUP(C13,Employees!$A$2:$E$7,2,FALSE),"Not Found")</f>
        <v>Sita</v>
      </c>
      <c r="O13" t="str">
        <f>INDEX(Employees!$B$2:$B$7,MATCH(C13,Employees!$A$2:$A$7,0))</f>
        <v>Sita</v>
      </c>
    </row>
    <row r="14" spans="1:15" x14ac:dyDescent="0.3">
      <c r="A14" s="7" t="s">
        <v>35</v>
      </c>
      <c r="B14" s="8">
        <v>46035</v>
      </c>
      <c r="C14" s="7" t="s">
        <v>7</v>
      </c>
      <c r="D14" s="7" t="s">
        <v>23</v>
      </c>
      <c r="E14" s="7" t="s">
        <v>9</v>
      </c>
      <c r="F14" s="9">
        <v>50400</v>
      </c>
      <c r="G14" s="9"/>
      <c r="H14" s="4" t="str">
        <f>_xlfn.XLOOKUP(C14,Employees!$A$2:$A$7,Employees!$B$2:$B$7,"not found")</f>
        <v>Asha</v>
      </c>
      <c r="I14" t="str">
        <f>_xlfn.XLOOKUP(C14,Employees!$A$2:$A$7,Employees!$C$2:$C$7,"Not Found")</f>
        <v>Sales</v>
      </c>
      <c r="J14" t="str">
        <f>_xlfn.XLOOKUP(C14,Employees!$A$2:$A$7,Employees!$D$2:$D$7,"Not Found")</f>
        <v>Senior</v>
      </c>
      <c r="K14" s="11">
        <f>_xlfn.XLOOKUP(C14,Employees!$A$2:$A$7,Employees!$E$2:$E$7,"Not Found")</f>
        <v>44972</v>
      </c>
      <c r="M14" t="str">
        <f>IFERROR(VLOOKUP(C14,Employees!$A$2:$E$7,2,FALSE),"Not Found")</f>
        <v>Asha</v>
      </c>
      <c r="O14" t="str">
        <f>INDEX(Employees!$B$2:$B$7,MATCH(C14,Employees!$A$2:$A$7,0))</f>
        <v>Asha</v>
      </c>
    </row>
    <row r="15" spans="1:15" x14ac:dyDescent="0.3">
      <c r="A15" s="7" t="s">
        <v>36</v>
      </c>
      <c r="B15" s="8">
        <v>46036</v>
      </c>
      <c r="C15" s="7" t="s">
        <v>22</v>
      </c>
      <c r="D15" s="7" t="s">
        <v>29</v>
      </c>
      <c r="E15" s="7" t="s">
        <v>24</v>
      </c>
      <c r="F15" s="9">
        <v>77000</v>
      </c>
      <c r="G15" s="9"/>
      <c r="H15" s="4" t="str">
        <f>_xlfn.XLOOKUP(C15,Employees!$A$2:$A$7,Employees!$B$2:$B$7,"not found")</f>
        <v>Pooja</v>
      </c>
      <c r="I15" t="str">
        <f>_xlfn.XLOOKUP(C15,Employees!$A$2:$A$7,Employees!$C$2:$C$7,"Not Found")</f>
        <v>Sales</v>
      </c>
      <c r="J15" t="str">
        <f>_xlfn.XLOOKUP(C15,Employees!$A$2:$A$7,Employees!$D$2:$D$7,"Not Found")</f>
        <v>Mid</v>
      </c>
      <c r="K15" s="11">
        <f>_xlfn.XLOOKUP(C15,Employees!$A$2:$A$7,Employees!$E$2:$E$7,"Not Found")</f>
        <v>45417</v>
      </c>
      <c r="M15" t="str">
        <f>IFERROR(VLOOKUP(C15,Employees!$A$2:$E$7,2,FALSE),"Not Found")</f>
        <v>Pooja</v>
      </c>
      <c r="O15" t="str">
        <f>INDEX(Employees!$B$2:$B$7,MATCH(C15,Employees!$A$2:$A$7,0))</f>
        <v>Pooja</v>
      </c>
    </row>
    <row r="16" spans="1:15" x14ac:dyDescent="0.3">
      <c r="A16" s="7" t="s">
        <v>37</v>
      </c>
      <c r="B16" s="8">
        <v>46037</v>
      </c>
      <c r="C16" s="7" t="s">
        <v>28</v>
      </c>
      <c r="D16" s="7" t="s">
        <v>16</v>
      </c>
      <c r="E16" s="7" t="s">
        <v>13</v>
      </c>
      <c r="F16" s="9">
        <v>41800</v>
      </c>
      <c r="G16" s="9"/>
      <c r="H16" s="4" t="str">
        <f>_xlfn.XLOOKUP(C16,Employees!$A$2:$A$7,Employees!$B$2:$B$7,"not found")</f>
        <v>Amit</v>
      </c>
      <c r="I16" t="str">
        <f>_xlfn.XLOOKUP(C16,Employees!$A$2:$A$7,Employees!$C$2:$C$7,"Not Found")</f>
        <v>Sales</v>
      </c>
      <c r="J16" t="str">
        <f>_xlfn.XLOOKUP(C16,Employees!$A$2:$A$7,Employees!$D$2:$D$7,"Not Found")</f>
        <v>Junior</v>
      </c>
      <c r="K16" s="11">
        <f>_xlfn.XLOOKUP(C16,Employees!$A$2:$A$7,Employees!$E$2:$E$7,"Not Found")</f>
        <v>45918</v>
      </c>
      <c r="M16" t="str">
        <f>IFERROR(VLOOKUP(C16,Employees!$A$2:$E$7,2,FALSE),"Not Found")</f>
        <v>Amit</v>
      </c>
      <c r="O16" t="str">
        <f>INDEX(Employees!$B$2:$B$7,MATCH(C16,Employees!$A$2:$A$7,0))</f>
        <v>Amit</v>
      </c>
    </row>
    <row r="17" spans="3:15" x14ac:dyDescent="0.3">
      <c r="C17" s="7" t="s">
        <v>51</v>
      </c>
      <c r="H17" s="4" t="str">
        <f>_xlfn.XLOOKUP(C17,Employees!$A$2:$A$7,Employees!$B$2:$B$7,"Not Found")</f>
        <v>Not Found</v>
      </c>
      <c r="I17" t="str">
        <f>_xlfn.XLOOKUP(C17,Employees!$A$2:$A$7,Employees!$C$2:$C$7,"Not Found")</f>
        <v>Not Found</v>
      </c>
      <c r="J17" t="str">
        <f>_xlfn.XLOOKUP(C17,Employees!$A$2:$A$7,Employees!$D$2:$D$7,"Not Found")</f>
        <v>Not Found</v>
      </c>
      <c r="K17" s="11" t="str">
        <f>_xlfn.XLOOKUP(C17,Employees!$A$2:$A$7,Employees!$E$2:$E$7,"Not Found")</f>
        <v>Not Found</v>
      </c>
      <c r="M17" t="str">
        <f>IFERROR(VLOOKUP(C17,Employees!$A$2:$E$7,2,FALSE),"Not Found")</f>
        <v>Not Found</v>
      </c>
      <c r="O17" t="e">
        <f>INDEX(Employees!$B$2:$B$7,MATCH(C17,Employees!$A$2:$A$7,0))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69B7-D062-44A2-B293-785A7E398235}">
  <dimension ref="A1:E7"/>
  <sheetViews>
    <sheetView workbookViewId="0">
      <selection sqref="A1:A7"/>
    </sheetView>
  </sheetViews>
  <sheetFormatPr defaultRowHeight="14.4" x14ac:dyDescent="0.3"/>
  <cols>
    <col min="1" max="1" width="13.109375" customWidth="1"/>
    <col min="2" max="2" width="17.44140625" customWidth="1"/>
    <col min="3" max="3" width="11" customWidth="1"/>
    <col min="5" max="5" width="14.109375" customWidth="1"/>
  </cols>
  <sheetData>
    <row r="1" spans="1:5" ht="28.8" x14ac:dyDescent="0.3">
      <c r="A1" s="1" t="s">
        <v>2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3">
      <c r="A2" s="2" t="s">
        <v>7</v>
      </c>
      <c r="B2" s="2" t="s">
        <v>42</v>
      </c>
      <c r="C2" s="2" t="s">
        <v>5</v>
      </c>
      <c r="D2" s="2" t="s">
        <v>43</v>
      </c>
      <c r="E2" s="3">
        <v>44972</v>
      </c>
    </row>
    <row r="3" spans="1:5" x14ac:dyDescent="0.3">
      <c r="A3" s="2" t="s">
        <v>15</v>
      </c>
      <c r="B3" s="2" t="s">
        <v>44</v>
      </c>
      <c r="C3" s="2" t="s">
        <v>5</v>
      </c>
      <c r="D3" s="2" t="s">
        <v>45</v>
      </c>
      <c r="E3" s="3">
        <v>45514</v>
      </c>
    </row>
    <row r="4" spans="1:5" x14ac:dyDescent="0.3">
      <c r="A4" s="2" t="s">
        <v>11</v>
      </c>
      <c r="B4" s="2" t="s">
        <v>46</v>
      </c>
      <c r="C4" s="2" t="s">
        <v>5</v>
      </c>
      <c r="D4" s="2" t="s">
        <v>47</v>
      </c>
      <c r="E4" s="3">
        <v>45677</v>
      </c>
    </row>
    <row r="5" spans="1:5" x14ac:dyDescent="0.3">
      <c r="A5" s="2" t="s">
        <v>22</v>
      </c>
      <c r="B5" s="2" t="s">
        <v>48</v>
      </c>
      <c r="C5" s="2" t="s">
        <v>5</v>
      </c>
      <c r="D5" s="2" t="s">
        <v>45</v>
      </c>
      <c r="E5" s="3">
        <v>45417</v>
      </c>
    </row>
    <row r="6" spans="1:5" x14ac:dyDescent="0.3">
      <c r="A6" s="2" t="s">
        <v>18</v>
      </c>
      <c r="B6" s="2" t="s">
        <v>49</v>
      </c>
      <c r="C6" s="2" t="s">
        <v>5</v>
      </c>
      <c r="D6" s="2" t="s">
        <v>43</v>
      </c>
      <c r="E6" s="3">
        <v>44632</v>
      </c>
    </row>
    <row r="7" spans="1:5" x14ac:dyDescent="0.3">
      <c r="A7" s="2" t="s">
        <v>28</v>
      </c>
      <c r="B7" s="2" t="s">
        <v>50</v>
      </c>
      <c r="C7" s="2" t="s">
        <v>5</v>
      </c>
      <c r="D7" s="2" t="s">
        <v>47</v>
      </c>
      <c r="E7" s="3">
        <v>45918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1A32-4076-4E60-BC00-E19B7EBD61CB}">
  <dimension ref="A1:E7"/>
  <sheetViews>
    <sheetView tabSelected="1" workbookViewId="0">
      <selection activeCell="E15" sqref="E15"/>
    </sheetView>
  </sheetViews>
  <sheetFormatPr defaultRowHeight="14.4" x14ac:dyDescent="0.3"/>
  <cols>
    <col min="1" max="1" width="12" customWidth="1"/>
    <col min="2" max="2" width="14.88671875" bestFit="1" customWidth="1"/>
    <col min="3" max="3" width="11.21875" bestFit="1" customWidth="1"/>
    <col min="4" max="4" width="9.88671875" bestFit="1" customWidth="1"/>
    <col min="5" max="5" width="16.21875" bestFit="1" customWidth="1"/>
  </cols>
  <sheetData>
    <row r="1" spans="1:5" x14ac:dyDescent="0.3">
      <c r="A1" s="1" t="s">
        <v>2</v>
      </c>
      <c r="B1" s="10" t="s">
        <v>38</v>
      </c>
      <c r="C1" s="10" t="s">
        <v>40</v>
      </c>
      <c r="D1" s="10" t="s">
        <v>52</v>
      </c>
      <c r="E1" s="10" t="s">
        <v>53</v>
      </c>
    </row>
    <row r="2" spans="1:5" x14ac:dyDescent="0.3">
      <c r="A2" s="2" t="s">
        <v>7</v>
      </c>
      <c r="B2" t="str">
        <f>_xlfn.XLOOKUP(A2,Employees!$A$2:$A$7,Employees!$B$2:$B$7,"Not Found")</f>
        <v>Asha</v>
      </c>
      <c r="C2" t="str">
        <f>_xlfn.XLOOKUP(A2,Employees!$A$2:$A$7,Employees!$D$2:$D$7,"Not Found")</f>
        <v>Senior</v>
      </c>
      <c r="D2">
        <f>SUMIFS(Sales!F:F,Sales!C:C,Analysis!A2)</f>
        <v>147900</v>
      </c>
      <c r="E2">
        <f>COUNTIFS(Sales!C:C,Analysis!A2)</f>
        <v>3</v>
      </c>
    </row>
    <row r="3" spans="1:5" x14ac:dyDescent="0.3">
      <c r="A3" s="2" t="s">
        <v>15</v>
      </c>
      <c r="B3" t="str">
        <f>_xlfn.XLOOKUP(A3,Employees!$A$2:$A$7,Employees!$B$2:$B$7,"Not Found")</f>
        <v>Sita</v>
      </c>
      <c r="C3" t="str">
        <f>_xlfn.XLOOKUP(A3,Employees!$A$2:$A$7,Employees!$D$2:$D$7,"Not Found")</f>
        <v>Mid</v>
      </c>
      <c r="D3">
        <f>SUMIFS(Sales!F:F,Sales!C:C,Analysis!A3)</f>
        <v>169600</v>
      </c>
      <c r="E3">
        <f>COUNTIFS(Sales!C:C,Analysis!A3)</f>
        <v>3</v>
      </c>
    </row>
    <row r="4" spans="1:5" x14ac:dyDescent="0.3">
      <c r="A4" s="2" t="s">
        <v>11</v>
      </c>
      <c r="B4" t="str">
        <f>_xlfn.XLOOKUP(A4,Employees!$A$2:$A$7,Employees!$B$2:$B$7,"Not Found")</f>
        <v>Ravi</v>
      </c>
      <c r="C4" t="str">
        <f>_xlfn.XLOOKUP(A4,Employees!$A$2:$A$7,Employees!$D$2:$D$7,"Not Found")</f>
        <v>Junior</v>
      </c>
      <c r="D4">
        <f>SUMIFS(Sales!F:F,Sales!C:C,Analysis!A4)</f>
        <v>90000</v>
      </c>
      <c r="E4">
        <f>COUNTIFS(Sales!C:C,Analysis!A4)</f>
        <v>2</v>
      </c>
    </row>
    <row r="5" spans="1:5" x14ac:dyDescent="0.3">
      <c r="A5" s="2" t="s">
        <v>22</v>
      </c>
      <c r="B5" t="str">
        <f>_xlfn.XLOOKUP(A5,Employees!$A$2:$A$7,Employees!$B$2:$B$7,"Not Found")</f>
        <v>Pooja</v>
      </c>
      <c r="C5" t="str">
        <f>_xlfn.XLOOKUP(A5,Employees!$A$2:$A$7,Employees!$D$2:$D$7,"Not Found")</f>
        <v>Mid</v>
      </c>
      <c r="D5">
        <f>SUMIFS(Sales!F:F,Sales!C:C,Analysis!A5)</f>
        <v>179400</v>
      </c>
      <c r="E5">
        <f>COUNTIFS(Sales!C:C,Analysis!A5)</f>
        <v>3</v>
      </c>
    </row>
    <row r="6" spans="1:5" x14ac:dyDescent="0.3">
      <c r="A6" s="2" t="s">
        <v>18</v>
      </c>
      <c r="B6" t="str">
        <f>_xlfn.XLOOKUP(A6,Employees!$A$2:$A$7,Employees!$B$2:$B$7,"Not Found")</f>
        <v>Kiran</v>
      </c>
      <c r="C6" t="str">
        <f>_xlfn.XLOOKUP(A6,Employees!$A$2:$A$7,Employees!$D$2:$D$7,"Not Found")</f>
        <v>Senior</v>
      </c>
      <c r="D6">
        <f>SUMIFS(Sales!F:F,Sales!C:C,Analysis!A6)</f>
        <v>259000</v>
      </c>
      <c r="E6">
        <f>COUNTIFS(Sales!C:C,Analysis!A6)</f>
        <v>2</v>
      </c>
    </row>
    <row r="7" spans="1:5" x14ac:dyDescent="0.3">
      <c r="A7" s="2" t="s">
        <v>28</v>
      </c>
      <c r="B7" t="str">
        <f>_xlfn.XLOOKUP(A7,Employees!$A$2:$A$7,Employees!$B$2:$B$7,"Not Found")</f>
        <v>Amit</v>
      </c>
      <c r="C7" t="str">
        <f>_xlfn.XLOOKUP(A7,Employees!$A$2:$A$7,Employees!$D$2:$D$7,"Not Found")</f>
        <v>Junior</v>
      </c>
      <c r="D7">
        <f>SUMIFS(Sales!F:F,Sales!C:C,Analysis!A7)</f>
        <v>96800</v>
      </c>
      <c r="E7">
        <f>COUNTIFS(Sales!C:C,Analysis!A7)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Employees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Jaiswal</dc:creator>
  <cp:lastModifiedBy>Anjali Jaiswal</cp:lastModifiedBy>
  <dcterms:created xsi:type="dcterms:W3CDTF">2026-08-23T06:21:27Z</dcterms:created>
  <dcterms:modified xsi:type="dcterms:W3CDTF">2026-08-23T07:10:11Z</dcterms:modified>
</cp:coreProperties>
</file>