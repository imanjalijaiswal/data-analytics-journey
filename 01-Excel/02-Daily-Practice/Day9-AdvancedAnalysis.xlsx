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ExcelPractice\"/>
    </mc:Choice>
  </mc:AlternateContent>
  <xr:revisionPtr revIDLastSave="0" documentId="13_ncr:1_{7420B4FE-7A70-4C77-B604-BE83D49A1536}" xr6:coauthVersionLast="47" xr6:coauthVersionMax="47" xr10:uidLastSave="{00000000-0000-0000-0000-000000000000}"/>
  <bookViews>
    <workbookView xWindow="-108" yWindow="-108" windowWidth="23256" windowHeight="12456" activeTab="2" xr2:uid="{CAD010C4-DFF4-45C2-8107-4CAE34259743}"/>
  </bookViews>
  <sheets>
    <sheet name="Sheet1" sheetId="1" r:id="rId1"/>
    <sheet name="Analysis" sheetId="2" r:id="rId2"/>
    <sheet name="Day10-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M2" i="3"/>
  <c r="P2" i="3" s="1"/>
  <c r="R11" i="3"/>
  <c r="R12" i="3"/>
  <c r="R13" i="3"/>
  <c r="R14" i="3"/>
  <c r="R10" i="3"/>
  <c r="Q11" i="3"/>
  <c r="Q12" i="3"/>
  <c r="Q13" i="3"/>
  <c r="Q14" i="3"/>
  <c r="Q10" i="3"/>
  <c r="P11" i="3"/>
  <c r="P12" i="3"/>
  <c r="P13" i="3"/>
  <c r="P14" i="3"/>
  <c r="P10" i="3"/>
  <c r="O12" i="3"/>
  <c r="O13" i="3"/>
  <c r="O14" i="3"/>
  <c r="O11" i="3"/>
  <c r="O10" i="3"/>
  <c r="N11" i="3"/>
  <c r="N12" i="3"/>
  <c r="N13" i="3"/>
  <c r="N14" i="3"/>
  <c r="N10" i="3"/>
  <c r="M4" i="2"/>
  <c r="M5" i="2"/>
  <c r="M6" i="2"/>
  <c r="M3" i="2"/>
  <c r="M11" i="3"/>
  <c r="M12" i="3"/>
  <c r="M13" i="3"/>
  <c r="M14" i="3"/>
  <c r="M10" i="3"/>
  <c r="P3" i="3"/>
  <c r="O3" i="3"/>
  <c r="M3" i="3"/>
  <c r="G5" i="3"/>
  <c r="H5" i="3" s="1"/>
  <c r="G6" i="3"/>
  <c r="H6" i="3" s="1"/>
  <c r="G2" i="3"/>
  <c r="H2" i="3" s="1"/>
  <c r="D5" i="3"/>
  <c r="D6" i="3"/>
  <c r="D2" i="3"/>
  <c r="D3" i="3"/>
  <c r="D4" i="3"/>
  <c r="B5" i="3"/>
  <c r="F5" i="3" s="1"/>
  <c r="B6" i="3"/>
  <c r="F6" i="3" s="1"/>
  <c r="B2" i="3"/>
  <c r="B3" i="3"/>
  <c r="G3" i="3" s="1"/>
  <c r="H3" i="3" s="1"/>
  <c r="B4" i="3"/>
  <c r="G4" i="3" s="1"/>
  <c r="H4" i="3" s="1"/>
  <c r="H13" i="2"/>
  <c r="P3" i="2"/>
  <c r="P2" i="2"/>
  <c r="H3" i="2"/>
  <c r="H4" i="2"/>
  <c r="H5" i="2"/>
  <c r="H6" i="2"/>
  <c r="H2" i="2"/>
  <c r="J2" i="2" s="1"/>
  <c r="J3" i="2"/>
  <c r="J4" i="2"/>
  <c r="J5" i="2"/>
  <c r="J6" i="2"/>
  <c r="I3" i="2"/>
  <c r="I4" i="2"/>
  <c r="I5" i="2"/>
  <c r="I6" i="2"/>
  <c r="I2" i="2"/>
  <c r="M2" i="2"/>
  <c r="E5" i="2"/>
  <c r="E3" i="2"/>
  <c r="E4" i="2"/>
  <c r="E2" i="2"/>
  <c r="B7" i="2"/>
  <c r="B6" i="2"/>
  <c r="B5" i="2"/>
  <c r="B4" i="2"/>
  <c r="B3" i="2"/>
  <c r="B2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K15" i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J16" i="1"/>
  <c r="K16" i="1" s="1"/>
  <c r="O2" i="3" l="1"/>
  <c r="H13" i="3"/>
  <c r="C2" i="3"/>
  <c r="C6" i="3"/>
  <c r="C5" i="3"/>
  <c r="F4" i="3"/>
  <c r="F3" i="3"/>
  <c r="F2" i="3"/>
  <c r="C4" i="3"/>
  <c r="H12" i="3" s="1"/>
  <c r="C3" i="3"/>
  <c r="B17" i="2"/>
  <c r="I16" i="2"/>
  <c r="I17" i="2" s="1"/>
</calcChain>
</file>

<file path=xl/sharedStrings.xml><?xml version="1.0" encoding="utf-8"?>
<sst xmlns="http://schemas.openxmlformats.org/spreadsheetml/2006/main" count="176" uniqueCount="77">
  <si>
    <t>Order ID</t>
  </si>
  <si>
    <t>Date</t>
  </si>
  <si>
    <t>Region</t>
  </si>
  <si>
    <t>Salesperson</t>
  </si>
  <si>
    <t>Category</t>
  </si>
  <si>
    <t>Product</t>
  </si>
  <si>
    <t>Units</t>
  </si>
  <si>
    <t>Revenue</t>
  </si>
  <si>
    <t>Cost</t>
  </si>
  <si>
    <t>O001</t>
  </si>
  <si>
    <t>Kathmandu</t>
  </si>
  <si>
    <t>Anisha</t>
  </si>
  <si>
    <t>Electronics</t>
  </si>
  <si>
    <t>Laptop</t>
  </si>
  <si>
    <t>O002</t>
  </si>
  <si>
    <t>Lalitpur</t>
  </si>
  <si>
    <t>Rahul</t>
  </si>
  <si>
    <t>Accessories</t>
  </si>
  <si>
    <t>Mouse</t>
  </si>
  <si>
    <t>O003</t>
  </si>
  <si>
    <t>Priya</t>
  </si>
  <si>
    <t>Monitor</t>
  </si>
  <si>
    <t>O004</t>
  </si>
  <si>
    <t>Pokhara</t>
  </si>
  <si>
    <t>Suman</t>
  </si>
  <si>
    <t>Keyboard</t>
  </si>
  <si>
    <t>O005</t>
  </si>
  <si>
    <t>Bharatpur</t>
  </si>
  <si>
    <t>Riya</t>
  </si>
  <si>
    <t>Webcam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</si>
  <si>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</si>
  <si>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</si>
  <si>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</si>
  <si>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</si>
  <si>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</si>
  <si>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</si>
  <si>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</si>
  <si>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</si>
  <si>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</si>
  <si>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</si>
  <si>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Profit</t>
  </si>
  <si>
    <t>Profit Margin</t>
  </si>
  <si>
    <t>Revenue per Units</t>
  </si>
  <si>
    <t>KPI</t>
  </si>
  <si>
    <t>Value</t>
  </si>
  <si>
    <t>Total Revenue</t>
  </si>
  <si>
    <t>Total Cost</t>
  </si>
  <si>
    <t>Total Profit</t>
  </si>
  <si>
    <t>Total Units</t>
  </si>
  <si>
    <t>Average Order Value</t>
  </si>
  <si>
    <t>Overall Profit Margin</t>
  </si>
  <si>
    <t>Which region generated the highest revenue?</t>
  </si>
  <si>
    <t>Which salesperson generated the highest revenue?</t>
  </si>
  <si>
    <t>Which product generated the highest revenue?</t>
  </si>
  <si>
    <t>Which category generated the highest profit?</t>
  </si>
  <si>
    <t>Which salesperson has the highest profit margin?</t>
  </si>
  <si>
    <t>Did revenue increase from January to February?</t>
  </si>
  <si>
    <t>Month</t>
  </si>
  <si>
    <t>January</t>
  </si>
  <si>
    <t>February</t>
  </si>
  <si>
    <t>Revenue Changed</t>
  </si>
  <si>
    <t>Growth %</t>
  </si>
  <si>
    <t>Rank</t>
  </si>
  <si>
    <t>Who is the #1 salesperson by revenue?</t>
  </si>
  <si>
    <t>% of Total revenue</t>
  </si>
  <si>
    <t>Which salesperson contributes the largest percentage of company revenue?</t>
  </si>
  <si>
    <t>Target</t>
  </si>
  <si>
    <t>Variance</t>
  </si>
  <si>
    <t>Achievement %</t>
  </si>
  <si>
    <t>Status</t>
  </si>
  <si>
    <t>% of total</t>
  </si>
  <si>
    <t>Cumulative %</t>
  </si>
  <si>
    <t>Business Flag</t>
  </si>
  <si>
    <t>Business Insights</t>
  </si>
  <si>
    <r>
      <t>1. Priya generated the highest revenue at ₹400,000</t>
    </r>
    <r>
      <rPr>
        <sz val="11"/>
        <color theme="1"/>
        <rFont val="Calibri"/>
        <family val="2"/>
        <scheme val="minor"/>
      </rPr>
      <t>, ranking first among the salespeople.</t>
    </r>
  </si>
  <si>
    <r>
      <t>2. February revenue was ₹592,500 compared with ₹524,000 in January</t>
    </r>
    <r>
      <rPr>
        <sz val="11"/>
        <color theme="1"/>
        <rFont val="Calibri"/>
        <family val="2"/>
        <scheme val="minor"/>
      </rPr>
      <t xml:space="preserve">, representing approximately </t>
    </r>
    <r>
      <rPr>
        <b/>
        <sz val="11"/>
        <color theme="1"/>
        <rFont val="Calibri"/>
        <family val="2"/>
        <scheme val="minor"/>
      </rPr>
      <t>13.07% growth</t>
    </r>
    <r>
      <rPr>
        <sz val="11"/>
        <color theme="1"/>
        <rFont val="Calibri"/>
        <family val="2"/>
        <scheme val="minor"/>
      </rPr>
      <t>.</t>
    </r>
  </si>
  <si>
    <t>3. The business should investigate why some salespeople are significantly below the ₹200,000 target and identify what is driving Priya's stronger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</si>
</sst>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horizontal="right" vertical="center" wrapText="1"/>
    </xf>
    <xf numFmtId="164" fontId="0" fillId="0" borderId="0" xfId="1" applyNumberFormat="1" applyFont="1"/>
    <xf numFmtId="10" fontId="0" fillId="0" borderId="0" xfId="1" applyNumberFormat="1" applyFont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0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14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26CD7-1736-4CBD-BBC2-D5E1B8FD5AF4}" name="SalesData" displayName="SalesData" ref="A1:L16" totalsRowShown="0" headerRowDxfId="13" dataDxfId="12">
  <tableColumns count="12">
    <tableColumn id="1" xr3:uid="{315A434C-F22A-452C-A648-962F46F3390B}" name="Order ID" dataDxfId="11"/>
    <tableColumn id="2" xr3:uid="{7E0CD59A-44A5-43D3-BDD7-CC921EF82598}" name="Date" dataDxfId="10"/>
    <tableColumn id="3" xr3:uid="{C3F03B0D-B48B-476E-973D-D96478B8A108}" name="Region" dataDxfId="9"/>
    <tableColumn id="4" xr3:uid="{6F5C7191-C4CA-4794-829C-BFBCB9F23CBB}" name="Salesperson" dataDxfId="8"/>
    <tableColumn id="5" xr3:uid="{8EB49106-7C04-44DB-A1EC-E81F6B29C9CB}" name="Category" dataDxfId="7"/>
    <tableColumn id="6" xr3:uid="{C553BE52-DA82-435C-B058-5D38EF27858B}" name="Product" dataDxfId="6"/>
    <tableColumn id="7" xr3:uid="{72AE60BD-9B77-4C70-B308-348A36F16945}" name="Units" dataDxfId="5"/>
    <tableColumn id="8" xr3:uid="{7C9B9831-9E8F-4AAA-A818-EB813456BEEC}" name="Revenue" dataDxfId="4"/>
    <tableColumn id="9" xr3:uid="{A4F620B3-0B9A-4765-9CC2-49C5E1DFDCEA}" name="Cost" dataDxfId="3"/>
    <tableColumn id="10" xr3:uid="{0368FDB2-D9AD-47C8-917B-14E37DD7892E}" name="Profit" dataDxfId="2">
      <calculatedColumnFormula>SalesData[[#This Row],[Revenue]]-SalesData[[#This Row],[Cost]]</calculatedColumnFormula>
    </tableColumn>
    <tableColumn id="11" xr3:uid="{D0D28B26-054E-4F5E-B31E-E8392794F6CC}" name="Profit Margin" dataDxfId="1">
      <calculatedColumnFormula>SalesData[[#This Row],[Profit]]/SalesData[[#This Row],[Revenue]]</calculatedColumnFormula>
    </tableColumn>
    <tableColumn id="12" xr3:uid="{C281A3AB-3F9B-49DC-91F4-A3B9F7B74B00}" name="Revenue per Units" dataDxfId="0">
      <calculatedColumnFormula>SalesData[[#This Row],[Revenue]]/SalesData[[#This Row],[Units]]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7EAE-5766-49CC-8898-0B101FF0F99C}">
  <dimension ref="A1:L16"/>
  <sheetViews>
    <sheetView workbookViewId="0">
      <selection activeCell="K2" sqref="K2"/>
    </sheetView>
  </sheetViews>
  <sheetFormatPr defaultRowHeight="14.4" x14ac:dyDescent="0.3"/>
  <cols>
    <col min="1" max="1" width="9.88671875" customWidth="1"/>
    <col min="2" max="2" width="10.77734375" customWidth="1"/>
    <col min="3" max="3" width="11.33203125" customWidth="1"/>
    <col min="4" max="4" width="12.88671875" customWidth="1"/>
    <col min="5" max="5" width="10.88671875" customWidth="1"/>
    <col min="6" max="6" width="9.5546875" customWidth="1"/>
    <col min="8" max="8" width="10.21875" customWidth="1"/>
    <col min="11" max="11" width="14" customWidth="1"/>
    <col min="12" max="13" width="17.109375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40</v>
      </c>
      <c r="K1" s="3" t="s">
        <v>41</v>
      </c>
      <c r="L1" s="3" t="s">
        <v>42</v>
      </c>
    </row>
    <row r="2" spans="1:12" x14ac:dyDescent="0.3">
      <c r="A2" s="4" t="s">
        <v>9</v>
      </c>
      <c r="B2" s="5">
        <v>46023</v>
      </c>
      <c r="C2" s="4" t="s">
        <v>10</v>
      </c>
      <c r="D2" s="4" t="s">
        <v>11</v>
      </c>
      <c r="E2" s="4" t="s">
        <v>12</v>
      </c>
      <c r="F2" s="4" t="s">
        <v>13</v>
      </c>
      <c r="G2" s="2">
        <v>2</v>
      </c>
      <c r="H2" s="2">
        <v>160000</v>
      </c>
      <c r="I2" s="2">
        <v>132000</v>
      </c>
      <c r="J2" s="2">
        <f>SalesData[[#This Row],[Revenue]]-SalesData[[#This Row],[Cost]]</f>
        <v>28000</v>
      </c>
      <c r="K2" s="6">
        <f>SalesData[[#This Row],[Profit]]/SalesData[[#This Row],[Revenue]]</f>
        <v>0.17499999999999999</v>
      </c>
      <c r="L2" s="2">
        <f>SalesData[[#This Row],[Revenue]]/SalesData[[#This Row],[Units]]</f>
        <v>80000</v>
      </c>
    </row>
    <row r="3" spans="1:12" x14ac:dyDescent="0.3">
      <c r="A3" s="4" t="s">
        <v>14</v>
      </c>
      <c r="B3" s="5">
        <v>46025</v>
      </c>
      <c r="C3" s="4" t="s">
        <v>15</v>
      </c>
      <c r="D3" s="4" t="s">
        <v>16</v>
      </c>
      <c r="E3" s="4" t="s">
        <v>17</v>
      </c>
      <c r="F3" s="4" t="s">
        <v>18</v>
      </c>
      <c r="G3" s="2">
        <v>10</v>
      </c>
      <c r="H3" s="2">
        <v>15000</v>
      </c>
      <c r="I3" s="2">
        <v>9000</v>
      </c>
      <c r="J3" s="2">
        <f>SalesData[[#This Row],[Revenue]]-SalesData[[#This Row],[Cost]]</f>
        <v>6000</v>
      </c>
      <c r="K3" s="6">
        <f>SalesData[[#This Row],[Profit]]/SalesData[[#This Row],[Revenue]]</f>
        <v>0.4</v>
      </c>
      <c r="L3" s="2">
        <f>SalesData[[#This Row],[Revenue]]/SalesData[[#This Row],[Units]]</f>
        <v>1500</v>
      </c>
    </row>
    <row r="4" spans="1:12" x14ac:dyDescent="0.3">
      <c r="A4" s="4" t="s">
        <v>19</v>
      </c>
      <c r="B4" s="5">
        <v>46027</v>
      </c>
      <c r="C4" s="4" t="s">
        <v>10</v>
      </c>
      <c r="D4" s="4" t="s">
        <v>20</v>
      </c>
      <c r="E4" s="4" t="s">
        <v>12</v>
      </c>
      <c r="F4" s="4" t="s">
        <v>21</v>
      </c>
      <c r="G4" s="2">
        <v>3</v>
      </c>
      <c r="H4" s="2">
        <v>90000</v>
      </c>
      <c r="I4" s="2">
        <v>69000</v>
      </c>
      <c r="J4" s="2">
        <f>SalesData[[#This Row],[Revenue]]-SalesData[[#This Row],[Cost]]</f>
        <v>21000</v>
      </c>
      <c r="K4" s="6">
        <f>SalesData[[#This Row],[Profit]]/SalesData[[#This Row],[Revenue]]</f>
        <v>0.23333333333333334</v>
      </c>
      <c r="L4" s="2">
        <f>SalesData[[#This Row],[Revenue]]/SalesData[[#This Row],[Units]]</f>
        <v>30000</v>
      </c>
    </row>
    <row r="5" spans="1:12" x14ac:dyDescent="0.3">
      <c r="A5" s="4" t="s">
        <v>22</v>
      </c>
      <c r="B5" s="5">
        <v>46030</v>
      </c>
      <c r="C5" s="4" t="s">
        <v>23</v>
      </c>
      <c r="D5" s="4" t="s">
        <v>24</v>
      </c>
      <c r="E5" s="4" t="s">
        <v>17</v>
      </c>
      <c r="F5" s="4" t="s">
        <v>25</v>
      </c>
      <c r="G5" s="2">
        <v>5</v>
      </c>
      <c r="H5" s="2">
        <v>15000</v>
      </c>
      <c r="I5" s="2">
        <v>9000</v>
      </c>
      <c r="J5" s="2">
        <f>SalesData[[#This Row],[Revenue]]-SalesData[[#This Row],[Cost]]</f>
        <v>6000</v>
      </c>
      <c r="K5" s="6">
        <f>SalesData[[#This Row],[Profit]]/SalesData[[#This Row],[Revenue]]</f>
        <v>0.4</v>
      </c>
      <c r="L5" s="2">
        <f>SalesData[[#This Row],[Revenue]]/SalesData[[#This Row],[Units]]</f>
        <v>3000</v>
      </c>
    </row>
    <row r="6" spans="1:12" x14ac:dyDescent="0.3">
      <c r="A6" s="4" t="s">
        <v>26</v>
      </c>
      <c r="B6" s="5">
        <v>46034</v>
      </c>
      <c r="C6" s="4" t="s">
        <v>27</v>
      </c>
      <c r="D6" s="4" t="s">
        <v>28</v>
      </c>
      <c r="E6" s="4" t="s">
        <v>12</v>
      </c>
      <c r="F6" s="4" t="s">
        <v>29</v>
      </c>
      <c r="G6" s="2">
        <v>4</v>
      </c>
      <c r="H6" s="2">
        <v>24000</v>
      </c>
      <c r="I6" s="2">
        <v>16000</v>
      </c>
      <c r="J6" s="2">
        <f>SalesData[[#This Row],[Revenue]]-SalesData[[#This Row],[Cost]]</f>
        <v>8000</v>
      </c>
      <c r="K6" s="6">
        <f>SalesData[[#This Row],[Profit]]/SalesData[[#This Row],[Revenue]]</f>
        <v>0.33333333333333331</v>
      </c>
      <c r="L6" s="2">
        <f>SalesData[[#This Row],[Revenue]]/SalesData[[#This Row],[Units]]</f>
        <v>6000</v>
      </c>
    </row>
    <row r="7" spans="1:12" x14ac:dyDescent="0.3">
      <c r="A7" s="4" t="s">
        <v>30</v>
      </c>
      <c r="B7" s="5">
        <v>46037</v>
      </c>
      <c r="C7" s="4" t="s">
        <v>10</v>
      </c>
      <c r="D7" s="4" t="s">
        <v>11</v>
      </c>
      <c r="E7" s="4" t="s">
        <v>12</v>
      </c>
      <c r="F7" s="4" t="s">
        <v>13</v>
      </c>
      <c r="G7" s="2">
        <v>1</v>
      </c>
      <c r="H7" s="2">
        <v>80000</v>
      </c>
      <c r="I7" s="2">
        <v>66000</v>
      </c>
      <c r="J7" s="2">
        <f>SalesData[[#This Row],[Revenue]]-SalesData[[#This Row],[Cost]]</f>
        <v>14000</v>
      </c>
      <c r="K7" s="6">
        <f>SalesData[[#This Row],[Profit]]/SalesData[[#This Row],[Revenue]]</f>
        <v>0.17499999999999999</v>
      </c>
      <c r="L7" s="2">
        <f>SalesData[[#This Row],[Revenue]]/SalesData[[#This Row],[Units]]</f>
        <v>80000</v>
      </c>
    </row>
    <row r="8" spans="1:12" x14ac:dyDescent="0.3">
      <c r="A8" s="4" t="s">
        <v>31</v>
      </c>
      <c r="B8" s="5">
        <v>46042</v>
      </c>
      <c r="C8" s="4" t="s">
        <v>15</v>
      </c>
      <c r="D8" s="4" t="s">
        <v>16</v>
      </c>
      <c r="E8" s="4" t="s">
        <v>12</v>
      </c>
      <c r="F8" s="4" t="s">
        <v>21</v>
      </c>
      <c r="G8" s="2">
        <v>2</v>
      </c>
      <c r="H8" s="2">
        <v>60000</v>
      </c>
      <c r="I8" s="2">
        <v>46000</v>
      </c>
      <c r="J8" s="2">
        <f>SalesData[[#This Row],[Revenue]]-SalesData[[#This Row],[Cost]]</f>
        <v>14000</v>
      </c>
      <c r="K8" s="6">
        <f>SalesData[[#This Row],[Profit]]/SalesData[[#This Row],[Revenue]]</f>
        <v>0.23333333333333334</v>
      </c>
      <c r="L8" s="2">
        <f>SalesData[[#This Row],[Revenue]]/SalesData[[#This Row],[Units]]</f>
        <v>30000</v>
      </c>
    </row>
    <row r="9" spans="1:12" x14ac:dyDescent="0.3">
      <c r="A9" s="4" t="s">
        <v>32</v>
      </c>
      <c r="B9" s="5">
        <v>46047</v>
      </c>
      <c r="C9" s="4" t="s">
        <v>23</v>
      </c>
      <c r="D9" s="4" t="s">
        <v>24</v>
      </c>
      <c r="E9" s="4" t="s">
        <v>12</v>
      </c>
      <c r="F9" s="4" t="s">
        <v>13</v>
      </c>
      <c r="G9" s="2">
        <v>1</v>
      </c>
      <c r="H9" s="2">
        <v>80000</v>
      </c>
      <c r="I9" s="2">
        <v>66000</v>
      </c>
      <c r="J9" s="2">
        <f>SalesData[[#This Row],[Revenue]]-SalesData[[#This Row],[Cost]]</f>
        <v>14000</v>
      </c>
      <c r="K9" s="6">
        <f>SalesData[[#This Row],[Profit]]/SalesData[[#This Row],[Revenue]]</f>
        <v>0.17499999999999999</v>
      </c>
      <c r="L9" s="2">
        <f>SalesData[[#This Row],[Revenue]]/SalesData[[#This Row],[Units]]</f>
        <v>80000</v>
      </c>
    </row>
    <row r="10" spans="1:12" x14ac:dyDescent="0.3">
      <c r="A10" s="4" t="s">
        <v>33</v>
      </c>
      <c r="B10" s="5">
        <v>46055</v>
      </c>
      <c r="C10" s="4" t="s">
        <v>27</v>
      </c>
      <c r="D10" s="4" t="s">
        <v>28</v>
      </c>
      <c r="E10" s="4" t="s">
        <v>17</v>
      </c>
      <c r="F10" s="4" t="s">
        <v>18</v>
      </c>
      <c r="G10" s="2">
        <v>15</v>
      </c>
      <c r="H10" s="2">
        <v>22500</v>
      </c>
      <c r="I10" s="2">
        <v>13500</v>
      </c>
      <c r="J10" s="2">
        <f>SalesData[[#This Row],[Revenue]]-SalesData[[#This Row],[Cost]]</f>
        <v>9000</v>
      </c>
      <c r="K10" s="6">
        <f>SalesData[[#This Row],[Profit]]/SalesData[[#This Row],[Revenue]]</f>
        <v>0.4</v>
      </c>
      <c r="L10" s="2">
        <f>SalesData[[#This Row],[Revenue]]/SalesData[[#This Row],[Units]]</f>
        <v>1500</v>
      </c>
    </row>
    <row r="11" spans="1:12" x14ac:dyDescent="0.3">
      <c r="A11" s="4" t="s">
        <v>34</v>
      </c>
      <c r="B11" s="5">
        <v>46058</v>
      </c>
      <c r="C11" s="4" t="s">
        <v>10</v>
      </c>
      <c r="D11" s="4" t="s">
        <v>20</v>
      </c>
      <c r="E11" s="4" t="s">
        <v>12</v>
      </c>
      <c r="F11" s="4" t="s">
        <v>13</v>
      </c>
      <c r="G11" s="2">
        <v>2</v>
      </c>
      <c r="H11" s="2">
        <v>160000</v>
      </c>
      <c r="I11" s="2">
        <v>132000</v>
      </c>
      <c r="J11" s="2">
        <f>SalesData[[#This Row],[Revenue]]-SalesData[[#This Row],[Cost]]</f>
        <v>28000</v>
      </c>
      <c r="K11" s="6">
        <f>SalesData[[#This Row],[Profit]]/SalesData[[#This Row],[Revenue]]</f>
        <v>0.17499999999999999</v>
      </c>
      <c r="L11" s="2">
        <f>SalesData[[#This Row],[Revenue]]/SalesData[[#This Row],[Units]]</f>
        <v>80000</v>
      </c>
    </row>
    <row r="12" spans="1:12" x14ac:dyDescent="0.3">
      <c r="A12" s="4" t="s">
        <v>35</v>
      </c>
      <c r="B12" s="5">
        <v>46063</v>
      </c>
      <c r="C12" s="4" t="s">
        <v>15</v>
      </c>
      <c r="D12" s="4" t="s">
        <v>16</v>
      </c>
      <c r="E12" s="4" t="s">
        <v>17</v>
      </c>
      <c r="F12" s="4" t="s">
        <v>25</v>
      </c>
      <c r="G12" s="2">
        <v>8</v>
      </c>
      <c r="H12" s="2">
        <v>24000</v>
      </c>
      <c r="I12" s="2">
        <v>14400</v>
      </c>
      <c r="J12" s="2">
        <f>SalesData[[#This Row],[Revenue]]-SalesData[[#This Row],[Cost]]</f>
        <v>9600</v>
      </c>
      <c r="K12" s="6">
        <f>SalesData[[#This Row],[Profit]]/SalesData[[#This Row],[Revenue]]</f>
        <v>0.4</v>
      </c>
      <c r="L12" s="2">
        <f>SalesData[[#This Row],[Revenue]]/SalesData[[#This Row],[Units]]</f>
        <v>3000</v>
      </c>
    </row>
    <row r="13" spans="1:12" x14ac:dyDescent="0.3">
      <c r="A13" s="4" t="s">
        <v>36</v>
      </c>
      <c r="B13" s="5">
        <v>46067</v>
      </c>
      <c r="C13" s="4" t="s">
        <v>23</v>
      </c>
      <c r="D13" s="4" t="s">
        <v>24</v>
      </c>
      <c r="E13" s="4" t="s">
        <v>12</v>
      </c>
      <c r="F13" s="4" t="s">
        <v>21</v>
      </c>
      <c r="G13" s="2">
        <v>4</v>
      </c>
      <c r="H13" s="2">
        <v>120000</v>
      </c>
      <c r="I13" s="2">
        <v>92000</v>
      </c>
      <c r="J13" s="2">
        <f>SalesData[[#This Row],[Revenue]]-SalesData[[#This Row],[Cost]]</f>
        <v>28000</v>
      </c>
      <c r="K13" s="6">
        <f>SalesData[[#This Row],[Profit]]/SalesData[[#This Row],[Revenue]]</f>
        <v>0.23333333333333334</v>
      </c>
      <c r="L13" s="2">
        <f>SalesData[[#This Row],[Revenue]]/SalesData[[#This Row],[Units]]</f>
        <v>30000</v>
      </c>
    </row>
    <row r="14" spans="1:12" x14ac:dyDescent="0.3">
      <c r="A14" s="4" t="s">
        <v>37</v>
      </c>
      <c r="B14" s="5">
        <v>46071</v>
      </c>
      <c r="C14" s="4" t="s">
        <v>10</v>
      </c>
      <c r="D14" s="4" t="s">
        <v>11</v>
      </c>
      <c r="E14" s="4" t="s">
        <v>17</v>
      </c>
      <c r="F14" s="4" t="s">
        <v>29</v>
      </c>
      <c r="G14" s="2">
        <v>6</v>
      </c>
      <c r="H14" s="2">
        <v>36000</v>
      </c>
      <c r="I14" s="2">
        <v>24000</v>
      </c>
      <c r="J14" s="2">
        <f>SalesData[[#This Row],[Revenue]]-SalesData[[#This Row],[Cost]]</f>
        <v>12000</v>
      </c>
      <c r="K14" s="6">
        <f>SalesData[[#This Row],[Profit]]/SalesData[[#This Row],[Revenue]]</f>
        <v>0.33333333333333331</v>
      </c>
      <c r="L14" s="2">
        <f>SalesData[[#This Row],[Revenue]]/SalesData[[#This Row],[Units]]</f>
        <v>6000</v>
      </c>
    </row>
    <row r="15" spans="1:12" x14ac:dyDescent="0.3">
      <c r="A15" s="4" t="s">
        <v>38</v>
      </c>
      <c r="B15" s="5">
        <v>46075</v>
      </c>
      <c r="C15" s="4" t="s">
        <v>27</v>
      </c>
      <c r="D15" s="4" t="s">
        <v>28</v>
      </c>
      <c r="E15" s="4" t="s">
        <v>12</v>
      </c>
      <c r="F15" s="4" t="s">
        <v>13</v>
      </c>
      <c r="G15" s="2">
        <v>1</v>
      </c>
      <c r="H15" s="2">
        <v>80000</v>
      </c>
      <c r="I15" s="2">
        <v>66000</v>
      </c>
      <c r="J15" s="2">
        <f>SalesData[[#This Row],[Revenue]]-SalesData[[#This Row],[Cost]]</f>
        <v>14000</v>
      </c>
      <c r="K15" s="6">
        <f>SalesData[[#This Row],[Profit]]/SalesData[[#This Row],[Revenue]]</f>
        <v>0.17499999999999999</v>
      </c>
      <c r="L15" s="2">
        <f>SalesData[[#This Row],[Revenue]]/SalesData[[#This Row],[Units]]</f>
        <v>80000</v>
      </c>
    </row>
    <row r="16" spans="1:12" x14ac:dyDescent="0.3">
      <c r="A16" s="4" t="s">
        <v>39</v>
      </c>
      <c r="B16" s="5">
        <v>46081</v>
      </c>
      <c r="C16" s="4" t="s">
        <v>10</v>
      </c>
      <c r="D16" s="4" t="s">
        <v>20</v>
      </c>
      <c r="E16" s="4" t="s">
        <v>12</v>
      </c>
      <c r="F16" s="4" t="s">
        <v>21</v>
      </c>
      <c r="G16" s="2">
        <v>5</v>
      </c>
      <c r="H16" s="2">
        <v>150000</v>
      </c>
      <c r="I16" s="2">
        <v>115000</v>
      </c>
      <c r="J16" s="2">
        <f>SalesData[[#This Row],[Revenue]]-SalesData[[#This Row],[Cost]]</f>
        <v>35000</v>
      </c>
      <c r="K16" s="6">
        <f>SalesData[[#This Row],[Profit]]/SalesData[[#This Row],[Revenue]]</f>
        <v>0.23333333333333334</v>
      </c>
      <c r="L16" s="2">
        <f>SalesData[[#This Row],[Revenue]]/SalesData[[#This Row],[Units]]</f>
        <v>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A630-CBDC-4B22-94DE-F17552EAE181}">
  <dimension ref="A1:P17"/>
  <sheetViews>
    <sheetView workbookViewId="0">
      <selection activeCell="A20" sqref="A20"/>
    </sheetView>
  </sheetViews>
  <sheetFormatPr defaultRowHeight="14.4" x14ac:dyDescent="0.3"/>
  <cols>
    <col min="1" max="1" width="46.6640625" customWidth="1"/>
    <col min="2" max="2" width="12.44140625" customWidth="1"/>
    <col min="4" max="5" width="13.77734375" customWidth="1"/>
    <col min="7" max="7" width="10.6640625" bestFit="1" customWidth="1"/>
    <col min="10" max="10" width="11.5546875" customWidth="1"/>
    <col min="11" max="11" width="11.6640625" bestFit="1" customWidth="1"/>
    <col min="15" max="15" width="12.44140625" customWidth="1"/>
  </cols>
  <sheetData>
    <row r="1" spans="1:16" x14ac:dyDescent="0.3">
      <c r="A1" s="1" t="s">
        <v>43</v>
      </c>
      <c r="B1" s="1" t="s">
        <v>44</v>
      </c>
      <c r="D1" t="s">
        <v>2</v>
      </c>
      <c r="E1" t="s">
        <v>7</v>
      </c>
      <c r="G1" t="s">
        <v>3</v>
      </c>
      <c r="H1" t="s">
        <v>7</v>
      </c>
      <c r="I1" t="s">
        <v>40</v>
      </c>
      <c r="J1" t="s">
        <v>41</v>
      </c>
      <c r="L1" t="s">
        <v>5</v>
      </c>
      <c r="M1" t="s">
        <v>7</v>
      </c>
      <c r="O1" t="s">
        <v>4</v>
      </c>
      <c r="P1" t="s">
        <v>40</v>
      </c>
    </row>
    <row r="2" spans="1:16" x14ac:dyDescent="0.3">
      <c r="A2" s="4" t="s">
        <v>45</v>
      </c>
      <c r="B2" s="4">
        <f>SUM(Sheet1!H:H)</f>
        <v>1116500</v>
      </c>
      <c r="D2" s="9" t="s">
        <v>10</v>
      </c>
      <c r="E2">
        <f>SUMIFS(Sheet1!H:H,Sheet1!C:C,Analysis!D2)</f>
        <v>676000</v>
      </c>
      <c r="G2" s="10" t="s">
        <v>24</v>
      </c>
      <c r="H2">
        <f>SUMIFS(Sheet1!H:H,Sheet1!D:D,Analysis!G2)</f>
        <v>215000</v>
      </c>
      <c r="I2">
        <f>SUMIFS(Sheet1!J:J,Sheet1!D:D,Analysis!G2)</f>
        <v>48000</v>
      </c>
      <c r="J2" s="7">
        <f>I2/H2</f>
        <v>0.22325581395348837</v>
      </c>
      <c r="L2" s="9" t="s">
        <v>13</v>
      </c>
      <c r="M2">
        <f>SUMIFS(Sheet1!H:H,Sheet1!F:F,Analysis!L2)</f>
        <v>560000</v>
      </c>
      <c r="O2" s="9" t="s">
        <v>12</v>
      </c>
      <c r="P2">
        <f>SUMIFS(Sheet1!J:J,Sheet1!E:E,Analysis!O2)</f>
        <v>204000</v>
      </c>
    </row>
    <row r="3" spans="1:16" x14ac:dyDescent="0.3">
      <c r="A3" s="4" t="s">
        <v>46</v>
      </c>
      <c r="B3" s="4">
        <f>SUM(Sheet1!I:I)</f>
        <v>869900</v>
      </c>
      <c r="D3" s="10" t="s">
        <v>23</v>
      </c>
      <c r="E3">
        <f>SUMIFS(Sheet1!H:H,Sheet1!C:C,Analysis!D4)</f>
        <v>126500</v>
      </c>
      <c r="G3" s="9" t="s">
        <v>28</v>
      </c>
      <c r="H3">
        <f>SUMIFS(Sheet1!H:H,Sheet1!D:D,Analysis!G3)</f>
        <v>126500</v>
      </c>
      <c r="I3">
        <f>SUMIFS(Sheet1!J:J,Sheet1!D:D,Analysis!G3)</f>
        <v>31000</v>
      </c>
      <c r="J3" s="7">
        <f t="shared" ref="J3:J6" si="0">I3/H3</f>
        <v>0.24505928853754941</v>
      </c>
      <c r="L3" s="9" t="s">
        <v>21</v>
      </c>
      <c r="M3">
        <f>SUMIFS(Sheet1!H:H,Sheet1!F:F,Analysis!L3)</f>
        <v>420000</v>
      </c>
      <c r="O3" s="10" t="s">
        <v>17</v>
      </c>
      <c r="P3">
        <f>SUMIFS(Sheet1!J:J,Sheet1!E:E,Analysis!O3)</f>
        <v>42600</v>
      </c>
    </row>
    <row r="4" spans="1:16" x14ac:dyDescent="0.3">
      <c r="A4" s="4" t="s">
        <v>47</v>
      </c>
      <c r="B4" s="4">
        <f>SUM(Sheet1!J:J)</f>
        <v>246600</v>
      </c>
      <c r="D4" s="9" t="s">
        <v>27</v>
      </c>
      <c r="E4">
        <f>SUMIFS(Sheet1!H:H,Sheet1!C:C,Analysis!D5)</f>
        <v>99000</v>
      </c>
      <c r="G4" s="10" t="s">
        <v>16</v>
      </c>
      <c r="H4">
        <f>SUMIFS(Sheet1!H:H,Sheet1!D:D,Analysis!G4)</f>
        <v>99000</v>
      </c>
      <c r="I4">
        <f>SUMIFS(Sheet1!J:J,Sheet1!D:D,Analysis!G4)</f>
        <v>29600</v>
      </c>
      <c r="J4" s="7">
        <f t="shared" si="0"/>
        <v>0.29898989898989897</v>
      </c>
      <c r="L4" s="9" t="s">
        <v>29</v>
      </c>
      <c r="M4">
        <f>SUMIFS(Sheet1!H:H,Sheet1!F:F,Analysis!L4)</f>
        <v>60000</v>
      </c>
    </row>
    <row r="5" spans="1:16" x14ac:dyDescent="0.3">
      <c r="A5" s="4" t="s">
        <v>48</v>
      </c>
      <c r="B5" s="4">
        <f>SUM(Sheet1!G:G)</f>
        <v>69</v>
      </c>
      <c r="D5" s="10" t="s">
        <v>15</v>
      </c>
      <c r="E5">
        <f>SUMIFS(Sheet1!H:H,Sheet1!C:C,Analysis!D3)</f>
        <v>215000</v>
      </c>
      <c r="G5" s="9" t="s">
        <v>20</v>
      </c>
      <c r="H5">
        <f>SUMIFS(Sheet1!H:H,Sheet1!D:D,Analysis!G5)</f>
        <v>400000</v>
      </c>
      <c r="I5">
        <f>SUMIFS(Sheet1!J:J,Sheet1!D:D,Analysis!G5)</f>
        <v>84000</v>
      </c>
      <c r="J5" s="7">
        <f t="shared" si="0"/>
        <v>0.21</v>
      </c>
      <c r="L5" s="10" t="s">
        <v>25</v>
      </c>
      <c r="M5">
        <f>SUMIFS(Sheet1!H:H,Sheet1!F:F,Analysis!L5)</f>
        <v>39000</v>
      </c>
    </row>
    <row r="6" spans="1:16" x14ac:dyDescent="0.3">
      <c r="A6" s="4" t="s">
        <v>49</v>
      </c>
      <c r="B6" s="4">
        <f>AVERAGE(Sheet1!H:H)</f>
        <v>74433.333333333328</v>
      </c>
      <c r="D6" s="11"/>
      <c r="G6" s="9" t="s">
        <v>11</v>
      </c>
      <c r="H6">
        <f>SUMIFS(Sheet1!H:H,Sheet1!D:D,Analysis!G6)</f>
        <v>276000</v>
      </c>
      <c r="I6">
        <f>SUMIFS(Sheet1!J:J,Sheet1!D:D,Analysis!G6)</f>
        <v>54000</v>
      </c>
      <c r="J6" s="7">
        <f t="shared" si="0"/>
        <v>0.19565217391304349</v>
      </c>
      <c r="L6" s="10" t="s">
        <v>18</v>
      </c>
      <c r="M6">
        <f>SUMIFS(Sheet1!H:H,Sheet1!F:F,Analysis!L6)</f>
        <v>37500</v>
      </c>
    </row>
    <row r="7" spans="1:16" x14ac:dyDescent="0.3">
      <c r="A7" s="4" t="s">
        <v>50</v>
      </c>
      <c r="B7" s="8">
        <f>SUM(Sheet1!J:J)/SUM(Sheet1!H:H)</f>
        <v>0.22086878638602778</v>
      </c>
    </row>
    <row r="11" spans="1:16" x14ac:dyDescent="0.3">
      <c r="G11" t="s">
        <v>57</v>
      </c>
      <c r="H11" t="s">
        <v>7</v>
      </c>
    </row>
    <row r="12" spans="1:16" x14ac:dyDescent="0.3">
      <c r="A12" t="s">
        <v>51</v>
      </c>
      <c r="B12" t="s">
        <v>10</v>
      </c>
      <c r="G12" t="s">
        <v>58</v>
      </c>
      <c r="H12">
        <f>SUMIFS(Sheet1!H:H,Sheet1!B:B,"&gt;="&amp;DATE(2026,1,1),Sheet1!B:B,"&lt;"&amp;DATE(2026,2,1))</f>
        <v>524000</v>
      </c>
    </row>
    <row r="13" spans="1:16" x14ac:dyDescent="0.3">
      <c r="A13" t="s">
        <v>52</v>
      </c>
      <c r="B13" t="s">
        <v>20</v>
      </c>
      <c r="G13" t="s">
        <v>59</v>
      </c>
      <c r="H13">
        <f>SUMIFS(Sheet1!H:H,Sheet1!B:B,"&gt;="&amp;DATE(2026,2,1),Sheet1!B:B,"&lt;"&amp;DATE(2026,3,1))</f>
        <v>592500</v>
      </c>
    </row>
    <row r="14" spans="1:16" x14ac:dyDescent="0.3">
      <c r="A14" t="s">
        <v>53</v>
      </c>
      <c r="B14" t="s">
        <v>13</v>
      </c>
    </row>
    <row r="15" spans="1:16" x14ac:dyDescent="0.3">
      <c r="A15" t="s">
        <v>54</v>
      </c>
      <c r="B15" t="s">
        <v>12</v>
      </c>
    </row>
    <row r="16" spans="1:16" x14ac:dyDescent="0.3">
      <c r="A16" t="s">
        <v>55</v>
      </c>
      <c r="B16" t="s">
        <v>16</v>
      </c>
      <c r="G16" t="s">
        <v>60</v>
      </c>
      <c r="I16">
        <f>H13-H12</f>
        <v>68500</v>
      </c>
    </row>
    <row r="17" spans="1:9" x14ac:dyDescent="0.3">
      <c r="A17" t="s">
        <v>56</v>
      </c>
      <c r="B17" t="str">
        <f>IF(H13&gt;H12,"Yes, revenue increased","No, revenue decreased")</f>
        <v>Yes, revenue increased</v>
      </c>
      <c r="G17" t="s">
        <v>61</v>
      </c>
      <c r="I17" s="8">
        <f>I16/MAX(H12,H13)</f>
        <v>0.11561181434599156</v>
      </c>
    </row>
  </sheetData>
  <sortState xmlns:xlrd2="http://schemas.microsoft.com/office/spreadsheetml/2017/richdata2" ref="L2:M6">
    <sortCondition descending="1" ref="M2:M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E33E-BDBE-43A8-8DB7-5BBE10681C28}">
  <dimension ref="A1:R22"/>
  <sheetViews>
    <sheetView tabSelected="1" workbookViewId="0">
      <selection activeCell="E17" sqref="E17"/>
    </sheetView>
  </sheetViews>
  <sheetFormatPr defaultRowHeight="14.4" x14ac:dyDescent="0.3"/>
  <cols>
    <col min="4" max="4" width="16.44140625" bestFit="1" customWidth="1"/>
    <col min="7" max="7" width="13.5546875" bestFit="1" customWidth="1"/>
    <col min="8" max="8" width="14.5546875" customWidth="1"/>
    <col min="15" max="15" width="12.109375" customWidth="1"/>
    <col min="16" max="16" width="13.5546875" bestFit="1" customWidth="1"/>
    <col min="17" max="17" width="11.6640625" bestFit="1" customWidth="1"/>
    <col min="18" max="18" width="11.5546875" bestFit="1" customWidth="1"/>
  </cols>
  <sheetData>
    <row r="1" spans="1:18" x14ac:dyDescent="0.3">
      <c r="A1" t="s">
        <v>3</v>
      </c>
      <c r="B1" t="s">
        <v>7</v>
      </c>
      <c r="C1" t="s">
        <v>62</v>
      </c>
      <c r="D1" t="s">
        <v>64</v>
      </c>
      <c r="E1" t="s">
        <v>66</v>
      </c>
      <c r="F1" t="s">
        <v>67</v>
      </c>
      <c r="G1" t="s">
        <v>68</v>
      </c>
      <c r="H1" t="s">
        <v>69</v>
      </c>
      <c r="L1" t="s">
        <v>57</v>
      </c>
      <c r="M1" t="s">
        <v>7</v>
      </c>
      <c r="N1" t="s">
        <v>66</v>
      </c>
      <c r="O1" t="s">
        <v>67</v>
      </c>
      <c r="P1" t="s">
        <v>68</v>
      </c>
    </row>
    <row r="2" spans="1:18" x14ac:dyDescent="0.3">
      <c r="A2" s="9" t="s">
        <v>20</v>
      </c>
      <c r="B2">
        <f>SUMIFS(Sheet1!H:H,Sheet1!D:D,A2)</f>
        <v>400000</v>
      </c>
      <c r="C2">
        <f>_xlfn.RANK.EQ(B2,$B$2:$B$6,0)</f>
        <v>1</v>
      </c>
      <c r="D2" s="8">
        <f>'Day10-Analysis'!B5/Analysis!$B$2</f>
        <v>0.11330049261083744</v>
      </c>
      <c r="E2">
        <v>200000</v>
      </c>
      <c r="F2">
        <f>B2-E2</f>
        <v>200000</v>
      </c>
      <c r="G2" s="8">
        <f>B2/E2</f>
        <v>2</v>
      </c>
      <c r="H2" t="str">
        <f>IF(G2&gt;=1,"Target Achieved","Below target")</f>
        <v>Target Achieved</v>
      </c>
      <c r="L2" t="s">
        <v>58</v>
      </c>
      <c r="M2">
        <f>SUMIFS(Sheet1!H:H,Sheet1!B:B,"&gt;="&amp;DATE(2026,1,1),Sheet1!B:B,"&lt;"&amp;DATE(2026,2,1))</f>
        <v>524000</v>
      </c>
      <c r="N2">
        <v>500000</v>
      </c>
      <c r="O2">
        <f>M2-N2</f>
        <v>24000</v>
      </c>
      <c r="P2" s="8">
        <f>M2/N2</f>
        <v>1.048</v>
      </c>
    </row>
    <row r="3" spans="1:18" x14ac:dyDescent="0.3">
      <c r="A3" s="9" t="s">
        <v>11</v>
      </c>
      <c r="B3">
        <f>SUMIFS(Sheet1!H:H,Sheet1!D:D,A3)</f>
        <v>276000</v>
      </c>
      <c r="C3">
        <f>_xlfn.RANK.EQ(B3,$B$2:$B$6,0)</f>
        <v>2</v>
      </c>
      <c r="D3" s="8">
        <f>'Day10-Analysis'!B6/Analysis!$B$2</f>
        <v>8.8669950738916259E-2</v>
      </c>
      <c r="E3">
        <v>200000</v>
      </c>
      <c r="F3">
        <f>B3-E3</f>
        <v>76000</v>
      </c>
      <c r="G3" s="8">
        <f>B3/E3</f>
        <v>1.38</v>
      </c>
      <c r="H3" t="str">
        <f>IF(G3&gt;=1,"Target Achieved","Below target")</f>
        <v>Target Achieved</v>
      </c>
      <c r="L3" t="s">
        <v>59</v>
      </c>
      <c r="M3">
        <f>SUMIFS(Sheet1!H:H,Sheet1!B:B,"&gt;="&amp;DATE(2026,2,1),Sheet1!B:B,"&lt;"&amp;DATE(2026,3,1))</f>
        <v>592500</v>
      </c>
      <c r="N3">
        <v>550000</v>
      </c>
      <c r="O3">
        <f>M3-N3</f>
        <v>42500</v>
      </c>
      <c r="P3" s="8">
        <f>M3/N3</f>
        <v>1.0772727272727274</v>
      </c>
    </row>
    <row r="4" spans="1:18" x14ac:dyDescent="0.3">
      <c r="A4" s="10" t="s">
        <v>24</v>
      </c>
      <c r="B4">
        <f>SUMIFS(Sheet1!H:H,Sheet1!D:D,A4)</f>
        <v>215000</v>
      </c>
      <c r="C4">
        <f>_xlfn.RANK.EQ(B4,$B$2:$B$6,0)</f>
        <v>3</v>
      </c>
      <c r="D4" s="8">
        <f>'Day10-Analysis'!B2/Analysis!$B$2</f>
        <v>0.35826242722794449</v>
      </c>
      <c r="E4">
        <v>200000</v>
      </c>
      <c r="F4">
        <f>B4-E4</f>
        <v>15000</v>
      </c>
      <c r="G4" s="8">
        <f>B4/E4</f>
        <v>1.075</v>
      </c>
      <c r="H4" t="str">
        <f>IF(G4&gt;=1,"Target Achieved","Below target")</f>
        <v>Target Achieved</v>
      </c>
    </row>
    <row r="5" spans="1:18" x14ac:dyDescent="0.3">
      <c r="A5" s="9" t="s">
        <v>28</v>
      </c>
      <c r="B5">
        <f>SUMIFS(Sheet1!H:H,Sheet1!D:D,A5)</f>
        <v>126500</v>
      </c>
      <c r="C5">
        <f>_xlfn.RANK.EQ(B5,$B$2:$B$6,0)</f>
        <v>4</v>
      </c>
      <c r="D5" s="8">
        <f>'Day10-Analysis'!B3/Analysis!$B$2</f>
        <v>0.24720107478728168</v>
      </c>
      <c r="E5">
        <v>200000</v>
      </c>
      <c r="F5">
        <f>B5-E5</f>
        <v>-73500</v>
      </c>
      <c r="G5" s="8">
        <f>B5/E5</f>
        <v>0.63249999999999995</v>
      </c>
      <c r="H5" t="str">
        <f>IF(G5&gt;=1,"Target Achieved","Below target")</f>
        <v>Below target</v>
      </c>
    </row>
    <row r="6" spans="1:18" x14ac:dyDescent="0.3">
      <c r="A6" s="10" t="s">
        <v>16</v>
      </c>
      <c r="B6">
        <f>SUMIFS(Sheet1!H:H,Sheet1!D:D,A6)</f>
        <v>99000</v>
      </c>
      <c r="C6">
        <f>_xlfn.RANK.EQ(B6,$B$2:$B$6,0)</f>
        <v>5</v>
      </c>
      <c r="D6" s="8">
        <f>'Day10-Analysis'!B4/Analysis!$B$2</f>
        <v>0.19256605463502016</v>
      </c>
      <c r="E6">
        <v>200000</v>
      </c>
      <c r="F6">
        <f>B6-E6</f>
        <v>-101000</v>
      </c>
      <c r="G6" s="8">
        <f>B6/E6</f>
        <v>0.495</v>
      </c>
      <c r="H6" t="str">
        <f>IF(G6&gt;=1,"Target Achieved","Below target")</f>
        <v>Below target</v>
      </c>
    </row>
    <row r="9" spans="1:18" x14ac:dyDescent="0.3">
      <c r="L9" t="s">
        <v>5</v>
      </c>
      <c r="M9" t="s">
        <v>7</v>
      </c>
      <c r="N9" t="s">
        <v>70</v>
      </c>
      <c r="O9" t="s">
        <v>71</v>
      </c>
      <c r="P9" t="s">
        <v>40</v>
      </c>
      <c r="Q9" t="s">
        <v>41</v>
      </c>
      <c r="R9" t="s">
        <v>72</v>
      </c>
    </row>
    <row r="10" spans="1:18" x14ac:dyDescent="0.3">
      <c r="L10" s="9" t="s">
        <v>13</v>
      </c>
      <c r="M10">
        <f>SUMIFS(Sheet1!H:H,Sheet1!F:F,L10)</f>
        <v>560000</v>
      </c>
      <c r="N10" s="8">
        <f>M10/SUM($M$10:$M$14)</f>
        <v>0.50156739811912221</v>
      </c>
      <c r="O10" s="12">
        <f>N10</f>
        <v>0.50156739811912221</v>
      </c>
      <c r="P10">
        <f>SUMIFS(Sheet1!J:J,Sheet1!F:F,'Day10-Analysis'!L10)</f>
        <v>98000</v>
      </c>
      <c r="Q10" s="8">
        <f>P10/M10</f>
        <v>0.17499999999999999</v>
      </c>
      <c r="R10" t="str">
        <f>IF(AND(M10&gt;=200000,Q10&gt;=20%),"High Priority", IF(AND(M10&gt;=50000,Q10&gt;=20%),"Good","Review"))</f>
        <v>Review</v>
      </c>
    </row>
    <row r="11" spans="1:18" x14ac:dyDescent="0.3">
      <c r="L11" s="9" t="s">
        <v>21</v>
      </c>
      <c r="M11">
        <f>SUMIFS(Sheet1!H:H,Sheet1!F:F,L11)</f>
        <v>420000</v>
      </c>
      <c r="N11" s="8">
        <f t="shared" ref="N11:N14" si="0">M11/SUM($M$10:$M$14)</f>
        <v>0.37617554858934171</v>
      </c>
      <c r="O11" s="12">
        <f>O10+N11</f>
        <v>0.87774294670846387</v>
      </c>
      <c r="P11">
        <f>SUMIFS(Sheet1!J:J,Sheet1!F:F,'Day10-Analysis'!L11)</f>
        <v>98000</v>
      </c>
      <c r="Q11" s="8">
        <f t="shared" ref="Q11:Q14" si="1">P11/M11</f>
        <v>0.23333333333333334</v>
      </c>
      <c r="R11" t="str">
        <f t="shared" ref="R11:R14" si="2">IF(AND(M11&gt;=200000,Q11&gt;=20%),"High Priority", IF(AND(M11&gt;=50000,Q11&gt;=20%),"Good","Review"))</f>
        <v>High Priority</v>
      </c>
    </row>
    <row r="12" spans="1:18" x14ac:dyDescent="0.3">
      <c r="A12" t="s">
        <v>63</v>
      </c>
      <c r="H12" t="str">
        <f>INDEX(A2:A6,MATCH(1,C2:C6,0))</f>
        <v>Priya</v>
      </c>
      <c r="L12" s="9" t="s">
        <v>29</v>
      </c>
      <c r="M12">
        <f>SUMIFS(Sheet1!H:H,Sheet1!F:F,L12)</f>
        <v>60000</v>
      </c>
      <c r="N12" s="8">
        <f t="shared" si="0"/>
        <v>5.3739364084191672E-2</v>
      </c>
      <c r="O12" s="12">
        <f t="shared" ref="O12:O14" si="3">O11+N12</f>
        <v>0.93148231079265553</v>
      </c>
      <c r="P12">
        <f>SUMIFS(Sheet1!J:J,Sheet1!F:F,'Day10-Analysis'!L12)</f>
        <v>20000</v>
      </c>
      <c r="Q12" s="8">
        <f t="shared" si="1"/>
        <v>0.33333333333333331</v>
      </c>
      <c r="R12" t="str">
        <f t="shared" si="2"/>
        <v>Good</v>
      </c>
    </row>
    <row r="13" spans="1:18" x14ac:dyDescent="0.3">
      <c r="A13" t="s">
        <v>65</v>
      </c>
      <c r="H13" s="12" t="str">
        <f>INDEX(A2:A6,MATCH(MAX(D2:D6),D2:D6,0))</f>
        <v>Suman</v>
      </c>
      <c r="L13" s="10" t="s">
        <v>25</v>
      </c>
      <c r="M13">
        <f>SUMIFS(Sheet1!H:H,Sheet1!F:F,L13)</f>
        <v>39000</v>
      </c>
      <c r="N13" s="8">
        <f t="shared" si="0"/>
        <v>3.4930586654724587E-2</v>
      </c>
      <c r="O13" s="12">
        <f t="shared" si="3"/>
        <v>0.96641289744738013</v>
      </c>
      <c r="P13">
        <f>SUMIFS(Sheet1!J:J,Sheet1!F:F,'Day10-Analysis'!L13)</f>
        <v>15600</v>
      </c>
      <c r="Q13" s="8">
        <f t="shared" si="1"/>
        <v>0.4</v>
      </c>
      <c r="R13" t="str">
        <f t="shared" si="2"/>
        <v>Review</v>
      </c>
    </row>
    <row r="14" spans="1:18" x14ac:dyDescent="0.3">
      <c r="L14" s="10" t="s">
        <v>18</v>
      </c>
      <c r="M14">
        <f>SUMIFS(Sheet1!H:H,Sheet1!F:F,L14)</f>
        <v>37500</v>
      </c>
      <c r="N14" s="8">
        <f t="shared" si="0"/>
        <v>3.3587102552619791E-2</v>
      </c>
      <c r="O14" s="12">
        <f t="shared" si="3"/>
        <v>0.99999999999999989</v>
      </c>
      <c r="P14">
        <f>SUMIFS(Sheet1!J:J,Sheet1!F:F,'Day10-Analysis'!L14)</f>
        <v>15000</v>
      </c>
      <c r="Q14" s="8">
        <f t="shared" si="1"/>
        <v>0.4</v>
      </c>
      <c r="R14" t="str">
        <f t="shared" si="2"/>
        <v>Review</v>
      </c>
    </row>
    <row r="18" spans="1:1" ht="18" x14ac:dyDescent="0.3">
      <c r="A18" s="13" t="s">
        <v>73</v>
      </c>
    </row>
    <row r="19" spans="1:1" x14ac:dyDescent="0.3">
      <c r="A19" s="14"/>
    </row>
    <row r="20" spans="1:1" x14ac:dyDescent="0.3">
      <c r="A20" s="15" t="s">
        <v>74</v>
      </c>
    </row>
    <row r="21" spans="1:1" x14ac:dyDescent="0.3">
      <c r="A21" s="15" t="s">
        <v>75</v>
      </c>
    </row>
    <row r="22" spans="1:1" x14ac:dyDescent="0.3">
      <c r="A22" s="14" t="s">
        <v>76</v>
      </c>
    </row>
  </sheetData>
  <sortState xmlns:xlrd2="http://schemas.microsoft.com/office/spreadsheetml/2017/richdata2" ref="A2:H6">
    <sortCondition ref="C2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Analysis</vt:lpstr>
      <vt:lpstr>Day10-Analysis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Jaiswal</dc:creator>
  <cp:lastModifiedBy>Anjali Jaiswal</cp:lastModifiedBy>
  <dcterms:created xsi:type="dcterms:W3CDTF">2026-09-08T05:24:05Z</dcterms:created>
  <dcterms:modified xsi:type="dcterms:W3CDTF">2026-09-08T17:24:09Z</dcterms:modified>
</cp:coreProperties>
</file>