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OneDrive\Desktop\"/>
    </mc:Choice>
  </mc:AlternateContent>
  <xr:revisionPtr revIDLastSave="0" documentId="13_ncr:1_{AE5283EA-45F7-4964-9CC0-64682CCBFFAE}" xr6:coauthVersionLast="47" xr6:coauthVersionMax="47" xr10:uidLastSave="{00000000-0000-0000-0000-000000000000}"/>
  <bookViews>
    <workbookView xWindow="-108" yWindow="-108" windowWidth="23256" windowHeight="12456" activeTab="2" xr2:uid="{EF4A4B75-4773-49A0-A3D9-0B1DCDF90677}"/>
  </bookViews>
  <sheets>
    <sheet name="Day1" sheetId="1" r:id="rId1"/>
    <sheet name="Day2" sheetId="2" r:id="rId2"/>
    <sheet name="Day3" sheetId="3" r:id="rId3"/>
  </sheets>
  <definedNames>
    <definedName name="SalesTable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3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J21" i="2" a="1"/>
  <c r="J21" i="2" s="1"/>
  <c r="J26" i="2"/>
  <c r="L3" i="2"/>
  <c r="L4" i="2"/>
  <c r="L5" i="2"/>
  <c r="L6" i="2"/>
  <c r="L7" i="2"/>
  <c r="L8" i="2"/>
  <c r="L9" i="2"/>
  <c r="L10" i="2"/>
  <c r="L11" i="2"/>
  <c r="L12" i="2"/>
  <c r="L13" i="2"/>
  <c r="J20" i="2"/>
  <c r="D22" i="2"/>
  <c r="D23" i="2"/>
  <c r="D24" i="2"/>
  <c r="D25" i="2"/>
  <c r="D2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2" i="2"/>
  <c r="L14" i="2"/>
  <c r="L15" i="2"/>
  <c r="L1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N27" i="1" a="1"/>
  <c r="N27" i="1" s="1"/>
  <c r="N26" i="1"/>
  <c r="M15" i="1"/>
  <c r="M16" i="1"/>
  <c r="M17" i="1"/>
  <c r="M14" i="1"/>
  <c r="C25" i="1"/>
  <c r="C26" i="1"/>
  <c r="C27" i="1"/>
  <c r="C28" i="1"/>
  <c r="C29" i="1"/>
  <c r="C31" i="1"/>
  <c r="C32" i="1"/>
  <c r="I8" i="1"/>
  <c r="I13" i="1"/>
  <c r="I16" i="1"/>
  <c r="H3" i="1"/>
  <c r="I3" i="1" s="1"/>
  <c r="H4" i="1"/>
  <c r="H5" i="1"/>
  <c r="H6" i="1"/>
  <c r="H7" i="1"/>
  <c r="H8" i="1"/>
  <c r="H9" i="1"/>
  <c r="I9" i="1" s="1"/>
  <c r="H10" i="1"/>
  <c r="I10" i="1" s="1"/>
  <c r="H11" i="1"/>
  <c r="I11" i="1" s="1"/>
  <c r="H12" i="1"/>
  <c r="I12" i="1" s="1"/>
  <c r="H13" i="1"/>
  <c r="H14" i="1"/>
  <c r="I14" i="1" s="1"/>
  <c r="H15" i="1"/>
  <c r="I15" i="1" s="1"/>
  <c r="H16" i="1"/>
  <c r="H17" i="1"/>
  <c r="I17" i="1" s="1"/>
  <c r="H18" i="1"/>
  <c r="I18" i="1" s="1"/>
  <c r="H19" i="1"/>
  <c r="I19" i="1" s="1"/>
  <c r="H20" i="1"/>
  <c r="I20" i="1" s="1"/>
  <c r="H21" i="1"/>
  <c r="I21" i="1" s="1"/>
  <c r="H2" i="1"/>
  <c r="M8" i="1" l="1"/>
  <c r="C35" i="1"/>
  <c r="C34" i="1"/>
  <c r="C33" i="1"/>
  <c r="Q3" i="1" s="1"/>
  <c r="R3" i="1" s="1"/>
  <c r="M7" i="1"/>
  <c r="M2" i="1"/>
  <c r="M6" i="1"/>
  <c r="C30" i="1"/>
  <c r="M5" i="1"/>
  <c r="M4" i="1"/>
  <c r="C24" i="1"/>
  <c r="M3" i="1"/>
  <c r="I7" i="1"/>
  <c r="I2" i="1"/>
  <c r="I6" i="1"/>
  <c r="I5" i="1"/>
  <c r="I4" i="1"/>
  <c r="Q2" i="1" l="1"/>
  <c r="R2" i="1" s="1"/>
  <c r="M22" i="3"/>
  <c r="O5" i="3"/>
  <c r="M14" i="3"/>
  <c r="M21" i="3"/>
  <c r="N31" i="3"/>
  <c r="M23" i="3"/>
  <c r="N23" i="3"/>
  <c r="M12" i="3"/>
  <c r="N21" i="3"/>
  <c r="M28" i="3"/>
  <c r="M11" i="3"/>
  <c r="M31" i="3"/>
  <c r="N28" i="3"/>
  <c r="M3" i="3"/>
  <c r="N11" i="3"/>
  <c r="N12" i="3"/>
  <c r="O3" i="3"/>
  <c r="O4" i="3"/>
  <c r="N22" i="3"/>
  <c r="M4" i="3"/>
  <c r="M29" i="3"/>
  <c r="N5" i="3"/>
  <c r="N2" i="3"/>
  <c r="M13" i="3"/>
  <c r="N4" i="3"/>
  <c r="M20" i="3"/>
  <c r="N29" i="3"/>
  <c r="N14" i="3"/>
  <c r="N20" i="3"/>
  <c r="N3" i="3"/>
  <c r="M5" i="3"/>
  <c r="O2" i="3"/>
  <c r="D37" i="3" s="1"/>
  <c r="N13" i="3"/>
  <c r="N30" i="3"/>
  <c r="M2" i="3"/>
  <c r="M30" i="3"/>
  <c r="D3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<sst xmlns="http://schemas.openxmlformats.org/spreadsheetml/2006/main" count="393" uniqueCount="131">
  <si>
    <t>Date</t>
  </si>
  <si>
    <t>Product</t>
  </si>
  <si>
    <t>Category</t>
  </si>
  <si>
    <t>Units Sold</t>
  </si>
  <si>
    <t>Unit Price</t>
  </si>
  <si>
    <t>Region</t>
  </si>
  <si>
    <t>Salesperson</t>
  </si>
  <si>
    <t>Laptop Stand</t>
  </si>
  <si>
    <t>Accessories</t>
  </si>
  <si>
    <t>Kathmandu</t>
  </si>
  <si>
    <t>Asha</t>
  </si>
  <si>
    <t>Wireless Mouse</t>
  </si>
  <si>
    <t>Pokhara</t>
  </si>
  <si>
    <t>Ravi</t>
  </si>
  <si>
    <t>Keyboard</t>
  </si>
  <si>
    <t>Sita</t>
  </si>
  <si>
    <t>Monitor</t>
  </si>
  <si>
    <t>Electronics</t>
  </si>
  <si>
    <t>Lalitpur</t>
  </si>
  <si>
    <t>USB Hub</t>
  </si>
  <si>
    <t>Bharatpur</t>
  </si>
  <si>
    <t>Headphones</t>
  </si>
  <si>
    <t>Webcam</t>
  </si>
  <si>
    <t>Total Sales</t>
  </si>
  <si>
    <t>Average Units Sold</t>
  </si>
  <si>
    <t>Highesrt Unit Price</t>
  </si>
  <si>
    <t>Lowest Unit Price</t>
  </si>
  <si>
    <t>Number of Products</t>
  </si>
  <si>
    <t>All Products/No.of records</t>
  </si>
  <si>
    <t>Unique Products</t>
  </si>
  <si>
    <t>Number of Transactions</t>
  </si>
  <si>
    <t>Average Unit Price</t>
  </si>
  <si>
    <t>Total Sales/Revenue</t>
  </si>
  <si>
    <t>Total Units Sold</t>
  </si>
  <si>
    <t>Average Transaction value</t>
  </si>
  <si>
    <t>Percentage</t>
  </si>
  <si>
    <t>Sales Category</t>
  </si>
  <si>
    <r>
      <t xml:space="preserve">Sales &gt;= ₹50,000 → </t>
    </r>
    <r>
      <rPr>
        <b/>
        <sz val="11"/>
        <color theme="1"/>
        <rFont val="Calibri"/>
        <family val="2"/>
        <scheme val="minor"/>
      </rPr>
      <t>High</t>
    </r>
  </si>
  <si>
    <r>
      <t xml:space="preserve">Sales &gt;= ₹25,000 → </t>
    </r>
    <r>
      <rPr>
        <b/>
        <sz val="11"/>
        <color theme="1"/>
        <rFont val="Calibri"/>
        <family val="2"/>
        <scheme val="minor"/>
      </rPr>
      <t>Medium</t>
    </r>
  </si>
  <si>
    <r>
      <t xml:space="preserve">Otherwise → </t>
    </r>
    <r>
      <rPr>
        <b/>
        <sz val="11"/>
        <color theme="1"/>
        <rFont val="Calibri"/>
        <family val="2"/>
        <scheme val="minor"/>
      </rPr>
      <t>Low</t>
    </r>
  </si>
  <si>
    <t>Lowest Transaction</t>
  </si>
  <si>
    <t>Highest Transaction</t>
  </si>
  <si>
    <t>Highest-Revenue Product</t>
  </si>
  <si>
    <t>Highest-Revenue Transaction</t>
  </si>
  <si>
    <t>Employee ID</t>
  </si>
  <si>
    <t>Employee</t>
  </si>
  <si>
    <t>Department</t>
  </si>
  <si>
    <t>Sales Target</t>
  </si>
  <si>
    <t>Actual Sales</t>
  </si>
  <si>
    <t>Attendance %</t>
  </si>
  <si>
    <t>E001</t>
  </si>
  <si>
    <t>Sales</t>
  </si>
  <si>
    <t>E002</t>
  </si>
  <si>
    <t>E003</t>
  </si>
  <si>
    <t>E004</t>
  </si>
  <si>
    <t>Kiran</t>
  </si>
  <si>
    <t>E005</t>
  </si>
  <si>
    <t>Neha</t>
  </si>
  <si>
    <t>E006</t>
  </si>
  <si>
    <t>Amit</t>
  </si>
  <si>
    <t>E007</t>
  </si>
  <si>
    <t>Pooja</t>
  </si>
  <si>
    <t>E008</t>
  </si>
  <si>
    <t>Rahul</t>
  </si>
  <si>
    <t>E009</t>
  </si>
  <si>
    <t>Anu</t>
  </si>
  <si>
    <t>E010</t>
  </si>
  <si>
    <t>Deepak</t>
  </si>
  <si>
    <t>E011</t>
  </si>
  <si>
    <t>Manisha</t>
  </si>
  <si>
    <t>E012</t>
  </si>
  <si>
    <t>Sunil</t>
  </si>
  <si>
    <t>E013</t>
  </si>
  <si>
    <t>Priya</t>
  </si>
  <si>
    <t>E014</t>
  </si>
  <si>
    <t>Rohan</t>
  </si>
  <si>
    <t>E015</t>
  </si>
  <si>
    <t>Nisha</t>
  </si>
  <si>
    <t>Customer Ratings</t>
  </si>
  <si>
    <t>Target Status</t>
  </si>
  <si>
    <t>Performance</t>
  </si>
  <si>
    <t>Recognition</t>
  </si>
  <si>
    <t>Promotion Candidate</t>
  </si>
  <si>
    <t>Number of Complaints</t>
  </si>
  <si>
    <t>Sales per complaints</t>
  </si>
  <si>
    <t>Recognition Candidates</t>
  </si>
  <si>
    <t>Recognition Candidates Details</t>
  </si>
  <si>
    <t>Recognition Candidates %</t>
  </si>
  <si>
    <t>Achievement %</t>
  </si>
  <si>
    <t>Bonus Eligible</t>
  </si>
  <si>
    <t>Order ID</t>
  </si>
  <si>
    <t>Units</t>
  </si>
  <si>
    <t>O001</t>
  </si>
  <si>
    <t>O002</t>
  </si>
  <si>
    <t>Mouse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</si>
  <si>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</si>
  <si>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</si>
  <si>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</si>
  <si>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</si>
  <si>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</si>
  <si>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</si>
  <si>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</si>
  <si>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</si>
  <si>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</si>
  <si>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</si>
  <si>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</si>
  <si>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</si>
  <si>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</si>
  <si>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</si>
  <si>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</si>
  <si>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</si>
  <si>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</si>
  <si>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</si>
  <si>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</si>
  <si>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</si>
  <si>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</si>
  <si>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</si>
  <si>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</si>
  <si>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</si>
  <si>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</si>
  <si>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</si>
  <si>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</si>
  <si>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</si>
  <si>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Number of Orders</t>
  </si>
  <si>
    <t>Average Sales Value</t>
  </si>
  <si>
    <t>Region/Category</t>
  </si>
  <si>
    <t>Total Orders</t>
  </si>
  <si>
    <t>Highest Sale Region</t>
  </si>
  <si>
    <t>Highest Order Region</t>
  </si>
  <si>
    <t>Highest Average Order Value</t>
  </si>
  <si>
    <t>Better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</si>
</sst>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9" fontId="0" fillId="0" borderId="0" xfId="1" applyFont="1"/>
    <xf numFmtId="15" fontId="0" fillId="0" borderId="0" xfId="0" applyNumberFormat="1" applyAlignment="1">
      <alignment vertical="center" wrapText="1"/>
    </xf>
    <xf numFmtId="0" fontId="3" fillId="0" borderId="0" xfId="0" applyFont="1"/>
  </cellXfs>
  <cellStyles count="2">
    <cellStyle name="Normal" xfId="0" builtinId="0"/>
    <cellStyle name="Percent" xfId="1" builtinId="5"/>
  </cellStyles>
  <dxfs count="12"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FA5631-4C54-4D19-86E0-8D2CF06AE52C}" name="Table1" displayName="Table1" ref="A1:I21" totalsRowShown="0" headerRowDxfId="11" dataDxfId="10">
  <tableColumns count="9">
    <tableColumn id="1" xr3:uid="{5BFE2DA8-7046-4F27-95A5-342C72D642B7}" name="Date" dataDxfId="9"/>
    <tableColumn id="2" xr3:uid="{A969F1D1-DAF8-41BC-BFFF-388BC9B87A8E}" name="Product" dataDxfId="8"/>
    <tableColumn id="3" xr3:uid="{3856392E-7177-4838-872B-1A59935DEA2D}" name="Category" dataDxfId="7"/>
    <tableColumn id="4" xr3:uid="{1E4ECDDF-2850-488D-A168-BF37F9BA1392}" name="Units Sold" dataDxfId="6"/>
    <tableColumn id="5" xr3:uid="{ED3A4C0C-0277-4C11-B3D6-669CCE5D4D33}" name="Unit Price" dataDxfId="5"/>
    <tableColumn id="6" xr3:uid="{96243672-6358-4943-9B8D-877AE43DCF61}" name="Region" dataDxfId="4"/>
    <tableColumn id="7" xr3:uid="{3D586CF3-9CB7-490B-BF99-EC2A2C46E16C}" name="Salesperson" dataDxfId="3"/>
    <tableColumn id="8" xr3:uid="{CADCDA69-69D5-414F-9C98-3493C19A7C50}" name="Total Sales">
      <calculatedColumnFormula>D2*E2</calculatedColumnFormula>
    </tableColumn>
    <tableColumn id="9" xr3:uid="{35E46021-3118-4657-BC69-2E4D39653F81}" name="Sales Category">
      <calculatedColumnFormula>IF(H2&gt;=50000,"High",IF(H2&gt;=25000,"Medium","Low"))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E9079-5BA6-4F52-85DF-ED7A499DAC87}" name="Table2" displayName="Table2" ref="L1:M8" totalsRowShown="0">
  <autoFilter ref="L1:M8" xr:uid="{CCEE9079-5BA6-4F52-85DF-ED7A499DAC87}"/>
  <tableColumns count="2">
    <tableColumn id="1" xr3:uid="{D240B0F3-4C66-486E-BE4B-092BA4616340}" name="Product" dataDxfId="2"/>
    <tableColumn id="2" xr3:uid="{E35C79EE-D3E2-46B8-BA8B-37595D7E87C2}" name="Total Sales">
      <calculatedColumnFormula>SUMIF(B$2:B$21,L2,H$2:H$21)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D28A0A-9D3D-4E41-91DF-F03269BB20E0}" name="Table3" displayName="Table3" ref="P1:R3" totalsRowShown="0" headerRowDxfId="1">
  <autoFilter ref="P1:R3" xr:uid="{48D28A0A-9D3D-4E41-91DF-F03269BB20E0}"/>
  <tableColumns count="3">
    <tableColumn id="1" xr3:uid="{D5ADE43B-CAC6-4BAB-BAA8-F06CA877BA68}" name="Category"/>
    <tableColumn id="2" xr3:uid="{21222635-C9A7-484A-BDF7-5F99CE3CCE48}" name="Total Sales">
      <calculatedColumnFormula>SUMIF(C:C,P2,H:H)</calculatedColumnFormula>
    </tableColumn>
    <tableColumn id="3" xr3:uid="{8ECA8DA2-A6C5-4289-AA62-C8F7C97D3A86}" name="Percentage" dataDxfId="0">
      <calculatedColumnFormula>Q2/$C$24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6ADD-6BEF-4F5A-9D57-BDDD2889F53B}">
  <dimension ref="A1:V35"/>
  <sheetViews>
    <sheetView zoomScale="80" workbookViewId="0">
      <selection activeCell="O21" sqref="O21"/>
    </sheetView>
  </sheetViews>
  <sheetFormatPr defaultRowHeight="14.4" x14ac:dyDescent="0.3"/>
  <cols>
    <col min="1" max="1" width="11.6640625" customWidth="1"/>
    <col min="2" max="2" width="18.6640625" customWidth="1"/>
    <col min="3" max="3" width="14.109375" bestFit="1" customWidth="1"/>
    <col min="4" max="4" width="12.44140625" customWidth="1"/>
    <col min="5" max="5" width="14" customWidth="1"/>
    <col min="6" max="6" width="13.33203125" customWidth="1"/>
    <col min="7" max="7" width="16.88671875" bestFit="1" customWidth="1"/>
    <col min="8" max="8" width="15.6640625" bestFit="1" customWidth="1"/>
    <col min="9" max="9" width="16.33203125" bestFit="1" customWidth="1"/>
    <col min="10" max="10" width="25.44140625" bestFit="1" customWidth="1"/>
    <col min="11" max="11" width="18.44140625" customWidth="1"/>
    <col min="12" max="12" width="22.109375" customWidth="1"/>
    <col min="13" max="13" width="12.109375" customWidth="1"/>
    <col min="16" max="16" width="11" bestFit="1" customWidth="1"/>
    <col min="17" max="17" width="12.109375" customWidth="1"/>
    <col min="18" max="18" width="12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4" t="s">
        <v>36</v>
      </c>
      <c r="L1" s="4" t="s">
        <v>1</v>
      </c>
      <c r="M1" t="s">
        <v>23</v>
      </c>
      <c r="P1" s="4" t="s">
        <v>2</v>
      </c>
      <c r="Q1" s="4" t="s">
        <v>23</v>
      </c>
      <c r="R1" s="4" t="s">
        <v>35</v>
      </c>
    </row>
    <row r="2" spans="1:18" x14ac:dyDescent="0.3">
      <c r="A2" s="2">
        <v>46025</v>
      </c>
      <c r="B2" s="3" t="s">
        <v>7</v>
      </c>
      <c r="C2" s="3" t="s">
        <v>8</v>
      </c>
      <c r="D2" s="3">
        <v>12</v>
      </c>
      <c r="E2" s="3">
        <v>2500</v>
      </c>
      <c r="F2" s="3" t="s">
        <v>9</v>
      </c>
      <c r="G2" s="3" t="s">
        <v>10</v>
      </c>
      <c r="H2">
        <f t="shared" ref="H2:H21" si="0">D2*E2</f>
        <v>30000</v>
      </c>
      <c r="I2" t="str">
        <f>IF(H2&gt;=50000,"High",IF(H2&gt;=25000,"Medium","Low"))</f>
        <v>Medium</v>
      </c>
      <c r="L2" s="3" t="s">
        <v>7</v>
      </c>
      <c r="M2">
        <f t="shared" ref="M2:M8" si="1">SUMIF(B$2:B$21,L2,H$2:H$21)</f>
        <v>97500</v>
      </c>
      <c r="P2" t="s">
        <v>8</v>
      </c>
      <c r="Q2">
        <f>SUMIF(C:C,P2,H:H)</f>
        <v>519800</v>
      </c>
      <c r="R2" s="5">
        <f>Q2/$C$24</f>
        <v>0.40191757519523696</v>
      </c>
    </row>
    <row r="3" spans="1:18" x14ac:dyDescent="0.3">
      <c r="A3" s="2">
        <v>46026</v>
      </c>
      <c r="B3" s="3" t="s">
        <v>11</v>
      </c>
      <c r="C3" s="3" t="s">
        <v>8</v>
      </c>
      <c r="D3" s="3">
        <v>25</v>
      </c>
      <c r="E3" s="3">
        <v>1500</v>
      </c>
      <c r="F3" s="3" t="s">
        <v>12</v>
      </c>
      <c r="G3" s="3" t="s">
        <v>13</v>
      </c>
      <c r="H3">
        <f t="shared" si="0"/>
        <v>37500</v>
      </c>
      <c r="I3" t="str">
        <f t="shared" ref="I3:I21" si="2">IF(H3&gt;=50000,"High",IF(H3&gt;=25000,"Medium","Low"))</f>
        <v>Medium</v>
      </c>
      <c r="J3" t="s">
        <v>37</v>
      </c>
      <c r="L3" s="3" t="s">
        <v>11</v>
      </c>
      <c r="M3">
        <f t="shared" si="1"/>
        <v>130500</v>
      </c>
      <c r="P3" t="s">
        <v>17</v>
      </c>
      <c r="Q3">
        <f>SUMIF(C:C,P3,H:H)</f>
        <v>773500</v>
      </c>
      <c r="R3" s="5">
        <f>Q3/$C$24</f>
        <v>0.59808242480476304</v>
      </c>
    </row>
    <row r="4" spans="1:18" x14ac:dyDescent="0.3">
      <c r="A4" s="2">
        <v>46027</v>
      </c>
      <c r="B4" s="3" t="s">
        <v>14</v>
      </c>
      <c r="C4" s="3" t="s">
        <v>8</v>
      </c>
      <c r="D4" s="3">
        <v>18</v>
      </c>
      <c r="E4" s="3">
        <v>2200</v>
      </c>
      <c r="F4" s="3" t="s">
        <v>9</v>
      </c>
      <c r="G4" s="3" t="s">
        <v>15</v>
      </c>
      <c r="H4">
        <f t="shared" si="0"/>
        <v>39600</v>
      </c>
      <c r="I4" t="str">
        <f t="shared" si="2"/>
        <v>Medium</v>
      </c>
      <c r="J4" t="s">
        <v>38</v>
      </c>
      <c r="L4" s="3" t="s">
        <v>14</v>
      </c>
      <c r="M4">
        <f t="shared" si="1"/>
        <v>129800</v>
      </c>
    </row>
    <row r="5" spans="1:18" x14ac:dyDescent="0.3">
      <c r="A5" s="2">
        <v>46028</v>
      </c>
      <c r="B5" s="3" t="s">
        <v>16</v>
      </c>
      <c r="C5" s="3" t="s">
        <v>17</v>
      </c>
      <c r="D5" s="3">
        <v>8</v>
      </c>
      <c r="E5" s="3">
        <v>18500</v>
      </c>
      <c r="F5" s="3" t="s">
        <v>18</v>
      </c>
      <c r="G5" s="3" t="s">
        <v>10</v>
      </c>
      <c r="H5">
        <f t="shared" si="0"/>
        <v>148000</v>
      </c>
      <c r="I5" t="str">
        <f t="shared" si="2"/>
        <v>High</v>
      </c>
      <c r="J5" t="s">
        <v>39</v>
      </c>
      <c r="L5" s="3" t="s">
        <v>16</v>
      </c>
      <c r="M5">
        <f t="shared" si="1"/>
        <v>425500</v>
      </c>
    </row>
    <row r="6" spans="1:18" x14ac:dyDescent="0.3">
      <c r="A6" s="2">
        <v>46029</v>
      </c>
      <c r="B6" s="3" t="s">
        <v>19</v>
      </c>
      <c r="C6" s="3" t="s">
        <v>8</v>
      </c>
      <c r="D6" s="3">
        <v>30</v>
      </c>
      <c r="E6" s="3">
        <v>1800</v>
      </c>
      <c r="F6" s="3" t="s">
        <v>20</v>
      </c>
      <c r="G6" s="3" t="s">
        <v>13</v>
      </c>
      <c r="H6">
        <f t="shared" si="0"/>
        <v>54000</v>
      </c>
      <c r="I6" t="str">
        <f t="shared" si="2"/>
        <v>High</v>
      </c>
      <c r="L6" s="3" t="s">
        <v>19</v>
      </c>
      <c r="M6">
        <f t="shared" si="1"/>
        <v>162000</v>
      </c>
    </row>
    <row r="7" spans="1:18" x14ac:dyDescent="0.3">
      <c r="A7" s="2">
        <v>46030</v>
      </c>
      <c r="B7" s="3" t="s">
        <v>21</v>
      </c>
      <c r="C7" s="3" t="s">
        <v>17</v>
      </c>
      <c r="D7" s="3">
        <v>15</v>
      </c>
      <c r="E7" s="3">
        <v>4500</v>
      </c>
      <c r="F7" s="3" t="s">
        <v>9</v>
      </c>
      <c r="G7" s="3" t="s">
        <v>15</v>
      </c>
      <c r="H7">
        <f t="shared" si="0"/>
        <v>67500</v>
      </c>
      <c r="I7" t="str">
        <f t="shared" si="2"/>
        <v>High</v>
      </c>
      <c r="L7" s="3" t="s">
        <v>21</v>
      </c>
      <c r="M7">
        <f t="shared" si="1"/>
        <v>216000</v>
      </c>
    </row>
    <row r="8" spans="1:18" x14ac:dyDescent="0.3">
      <c r="A8" s="2">
        <v>46032</v>
      </c>
      <c r="B8" s="3" t="s">
        <v>22</v>
      </c>
      <c r="C8" s="3" t="s">
        <v>17</v>
      </c>
      <c r="D8" s="3">
        <v>10</v>
      </c>
      <c r="E8" s="3">
        <v>5500</v>
      </c>
      <c r="F8" s="3" t="s">
        <v>12</v>
      </c>
      <c r="G8" s="3" t="s">
        <v>10</v>
      </c>
      <c r="H8">
        <f t="shared" si="0"/>
        <v>55000</v>
      </c>
      <c r="I8" t="str">
        <f t="shared" si="2"/>
        <v>High</v>
      </c>
      <c r="L8" s="3" t="s">
        <v>22</v>
      </c>
      <c r="M8">
        <f t="shared" si="1"/>
        <v>132000</v>
      </c>
    </row>
    <row r="9" spans="1:18" x14ac:dyDescent="0.3">
      <c r="A9" s="2">
        <v>46033</v>
      </c>
      <c r="B9" s="3" t="s">
        <v>14</v>
      </c>
      <c r="C9" s="3" t="s">
        <v>8</v>
      </c>
      <c r="D9" s="3">
        <v>22</v>
      </c>
      <c r="E9" s="3">
        <v>2200</v>
      </c>
      <c r="F9" s="3" t="s">
        <v>20</v>
      </c>
      <c r="G9" s="3" t="s">
        <v>13</v>
      </c>
      <c r="H9">
        <f t="shared" si="0"/>
        <v>48400</v>
      </c>
      <c r="I9" t="str">
        <f t="shared" si="2"/>
        <v>Medium</v>
      </c>
    </row>
    <row r="10" spans="1:18" x14ac:dyDescent="0.3">
      <c r="A10" s="2">
        <v>46034</v>
      </c>
      <c r="B10" s="3" t="s">
        <v>7</v>
      </c>
      <c r="C10" s="3" t="s">
        <v>8</v>
      </c>
      <c r="D10" s="3">
        <v>16</v>
      </c>
      <c r="E10" s="3">
        <v>2500</v>
      </c>
      <c r="F10" s="3" t="s">
        <v>18</v>
      </c>
      <c r="G10" s="3" t="s">
        <v>15</v>
      </c>
      <c r="H10">
        <f t="shared" si="0"/>
        <v>40000</v>
      </c>
      <c r="I10" t="str">
        <f t="shared" si="2"/>
        <v>Medium</v>
      </c>
    </row>
    <row r="11" spans="1:18" x14ac:dyDescent="0.3">
      <c r="A11" s="2">
        <v>46036</v>
      </c>
      <c r="B11" s="3" t="s">
        <v>16</v>
      </c>
      <c r="C11" s="3" t="s">
        <v>17</v>
      </c>
      <c r="D11" s="3">
        <v>6</v>
      </c>
      <c r="E11" s="3">
        <v>18500</v>
      </c>
      <c r="F11" s="3" t="s">
        <v>9</v>
      </c>
      <c r="G11" s="3" t="s">
        <v>10</v>
      </c>
      <c r="H11">
        <f t="shared" si="0"/>
        <v>111000</v>
      </c>
      <c r="I11" t="str">
        <f t="shared" si="2"/>
        <v>High</v>
      </c>
    </row>
    <row r="12" spans="1:18" x14ac:dyDescent="0.3">
      <c r="A12" s="2">
        <v>46037</v>
      </c>
      <c r="B12" s="3" t="s">
        <v>11</v>
      </c>
      <c r="C12" s="3" t="s">
        <v>8</v>
      </c>
      <c r="D12" s="3">
        <v>35</v>
      </c>
      <c r="E12" s="3">
        <v>1500</v>
      </c>
      <c r="F12" s="3" t="s">
        <v>20</v>
      </c>
      <c r="G12" s="3" t="s">
        <v>13</v>
      </c>
      <c r="H12">
        <f t="shared" si="0"/>
        <v>52500</v>
      </c>
      <c r="I12" t="str">
        <f t="shared" si="2"/>
        <v>High</v>
      </c>
    </row>
    <row r="13" spans="1:18" x14ac:dyDescent="0.3">
      <c r="A13" s="2">
        <v>46039</v>
      </c>
      <c r="B13" s="3" t="s">
        <v>21</v>
      </c>
      <c r="C13" s="3" t="s">
        <v>17</v>
      </c>
      <c r="D13" s="3">
        <v>20</v>
      </c>
      <c r="E13" s="3">
        <v>4500</v>
      </c>
      <c r="F13" s="3" t="s">
        <v>18</v>
      </c>
      <c r="G13" s="3" t="s">
        <v>15</v>
      </c>
      <c r="H13">
        <f t="shared" si="0"/>
        <v>90000</v>
      </c>
      <c r="I13" t="str">
        <f t="shared" si="2"/>
        <v>High</v>
      </c>
      <c r="L13" s="4" t="s">
        <v>5</v>
      </c>
      <c r="M13" t="s">
        <v>23</v>
      </c>
    </row>
    <row r="14" spans="1:18" x14ac:dyDescent="0.3">
      <c r="A14" s="2">
        <v>46040</v>
      </c>
      <c r="B14" s="3" t="s">
        <v>19</v>
      </c>
      <c r="C14" s="3" t="s">
        <v>8</v>
      </c>
      <c r="D14" s="3">
        <v>28</v>
      </c>
      <c r="E14" s="3">
        <v>1800</v>
      </c>
      <c r="F14" s="3" t="s">
        <v>9</v>
      </c>
      <c r="G14" s="3" t="s">
        <v>10</v>
      </c>
      <c r="H14">
        <f t="shared" si="0"/>
        <v>50400</v>
      </c>
      <c r="I14" t="str">
        <f t="shared" si="2"/>
        <v>High</v>
      </c>
      <c r="L14" s="3" t="s">
        <v>9</v>
      </c>
      <c r="M14">
        <f>SUMIF(F:F,L14,H:H)</f>
        <v>384500</v>
      </c>
    </row>
    <row r="15" spans="1:18" x14ac:dyDescent="0.3">
      <c r="A15" s="2">
        <v>46042</v>
      </c>
      <c r="B15" s="3" t="s">
        <v>22</v>
      </c>
      <c r="C15" s="3" t="s">
        <v>17</v>
      </c>
      <c r="D15" s="3">
        <v>14</v>
      </c>
      <c r="E15" s="3">
        <v>5500</v>
      </c>
      <c r="F15" s="3" t="s">
        <v>20</v>
      </c>
      <c r="G15" s="3" t="s">
        <v>13</v>
      </c>
      <c r="H15">
        <f t="shared" si="0"/>
        <v>77000</v>
      </c>
      <c r="I15" t="str">
        <f t="shared" si="2"/>
        <v>High</v>
      </c>
      <c r="L15" s="3" t="s">
        <v>12</v>
      </c>
      <c r="M15">
        <f t="shared" ref="M15:M17" si="3">SUMIF(F:F,L15,H:H)</f>
        <v>358400</v>
      </c>
    </row>
    <row r="16" spans="1:18" x14ac:dyDescent="0.3">
      <c r="A16" s="2">
        <v>46043</v>
      </c>
      <c r="B16" s="3" t="s">
        <v>14</v>
      </c>
      <c r="C16" s="3" t="s">
        <v>8</v>
      </c>
      <c r="D16" s="3">
        <v>19</v>
      </c>
      <c r="E16" s="3">
        <v>2200</v>
      </c>
      <c r="F16" s="3" t="s">
        <v>12</v>
      </c>
      <c r="G16" s="3" t="s">
        <v>15</v>
      </c>
      <c r="H16">
        <f t="shared" si="0"/>
        <v>41800</v>
      </c>
      <c r="I16" t="str">
        <f t="shared" si="2"/>
        <v>Medium</v>
      </c>
      <c r="L16" s="3" t="s">
        <v>18</v>
      </c>
      <c r="M16">
        <f t="shared" si="3"/>
        <v>318500</v>
      </c>
    </row>
    <row r="17" spans="1:22" x14ac:dyDescent="0.3">
      <c r="A17" s="2">
        <v>46045</v>
      </c>
      <c r="B17" s="3" t="s">
        <v>7</v>
      </c>
      <c r="C17" s="3" t="s">
        <v>8</v>
      </c>
      <c r="D17" s="3">
        <v>11</v>
      </c>
      <c r="E17" s="3">
        <v>2500</v>
      </c>
      <c r="F17" s="3" t="s">
        <v>9</v>
      </c>
      <c r="G17" s="3" t="s">
        <v>10</v>
      </c>
      <c r="H17">
        <f t="shared" si="0"/>
        <v>27500</v>
      </c>
      <c r="I17" t="str">
        <f t="shared" si="2"/>
        <v>Medium</v>
      </c>
      <c r="L17" s="3" t="s">
        <v>20</v>
      </c>
      <c r="M17">
        <f t="shared" si="3"/>
        <v>231900</v>
      </c>
    </row>
    <row r="18" spans="1:22" x14ac:dyDescent="0.3">
      <c r="A18" s="2">
        <v>46046</v>
      </c>
      <c r="B18" s="3" t="s">
        <v>16</v>
      </c>
      <c r="C18" s="3" t="s">
        <v>17</v>
      </c>
      <c r="D18" s="3">
        <v>9</v>
      </c>
      <c r="E18" s="3">
        <v>18500</v>
      </c>
      <c r="F18" s="3" t="s">
        <v>12</v>
      </c>
      <c r="G18" s="3" t="s">
        <v>13</v>
      </c>
      <c r="H18">
        <f t="shared" si="0"/>
        <v>166500</v>
      </c>
      <c r="I18" t="str">
        <f t="shared" si="2"/>
        <v>High</v>
      </c>
    </row>
    <row r="19" spans="1:22" x14ac:dyDescent="0.3">
      <c r="A19" s="2">
        <v>46048</v>
      </c>
      <c r="B19" s="3" t="s">
        <v>11</v>
      </c>
      <c r="C19" s="3" t="s">
        <v>8</v>
      </c>
      <c r="D19" s="3">
        <v>27</v>
      </c>
      <c r="E19" s="3">
        <v>1500</v>
      </c>
      <c r="F19" s="3" t="s">
        <v>18</v>
      </c>
      <c r="G19" s="3" t="s">
        <v>15</v>
      </c>
      <c r="H19">
        <f t="shared" si="0"/>
        <v>40500</v>
      </c>
      <c r="I19" t="str">
        <f t="shared" si="2"/>
        <v>Medium</v>
      </c>
    </row>
    <row r="20" spans="1:22" x14ac:dyDescent="0.3">
      <c r="A20" s="2">
        <v>46049</v>
      </c>
      <c r="B20" s="3" t="s">
        <v>21</v>
      </c>
      <c r="C20" s="3" t="s">
        <v>17</v>
      </c>
      <c r="D20" s="3">
        <v>13</v>
      </c>
      <c r="E20" s="3">
        <v>4500</v>
      </c>
      <c r="F20" s="3" t="s">
        <v>9</v>
      </c>
      <c r="G20" s="3" t="s">
        <v>10</v>
      </c>
      <c r="H20">
        <f t="shared" si="0"/>
        <v>58500</v>
      </c>
      <c r="I20" t="str">
        <f t="shared" si="2"/>
        <v>High</v>
      </c>
    </row>
    <row r="21" spans="1:22" x14ac:dyDescent="0.3">
      <c r="A21" s="2">
        <v>46051</v>
      </c>
      <c r="B21" s="3" t="s">
        <v>19</v>
      </c>
      <c r="C21" s="3" t="s">
        <v>8</v>
      </c>
      <c r="D21" s="3">
        <v>32</v>
      </c>
      <c r="E21" s="3">
        <v>1800</v>
      </c>
      <c r="F21" s="3" t="s">
        <v>12</v>
      </c>
      <c r="G21" s="3" t="s">
        <v>13</v>
      </c>
      <c r="H21">
        <f t="shared" si="0"/>
        <v>57600</v>
      </c>
      <c r="I21" t="str">
        <f t="shared" si="2"/>
        <v>High</v>
      </c>
    </row>
    <row r="24" spans="1:22" x14ac:dyDescent="0.3">
      <c r="A24" s="4" t="s">
        <v>32</v>
      </c>
      <c r="C24" s="4">
        <f>SUM(H2:H21)</f>
        <v>1293300</v>
      </c>
    </row>
    <row r="25" spans="1:22" x14ac:dyDescent="0.3">
      <c r="A25" s="4" t="s">
        <v>24</v>
      </c>
      <c r="C25" s="4">
        <f>AVERAGE(D2:D21)</f>
        <v>18.5</v>
      </c>
    </row>
    <row r="26" spans="1:22" x14ac:dyDescent="0.3">
      <c r="A26" s="4" t="s">
        <v>25</v>
      </c>
      <c r="C26" s="4">
        <f>MAX(E2:E21)</f>
        <v>18500</v>
      </c>
      <c r="L26" s="4" t="s">
        <v>42</v>
      </c>
      <c r="N26" t="str">
        <f>_xlfn.XLOOKUP(MAX(M2:M8),M2:M8,L2:L8)</f>
        <v>Monitor</v>
      </c>
    </row>
    <row r="27" spans="1:22" x14ac:dyDescent="0.3">
      <c r="A27" s="4" t="s">
        <v>26</v>
      </c>
      <c r="C27" s="4">
        <f>MIN(E2:E21)</f>
        <v>1500</v>
      </c>
      <c r="L27" s="4" t="s">
        <v>43</v>
      </c>
      <c r="N27" cm="1">
        <f t="array" ref="N27:V27">_xlfn._xlws.FILTER(A2:I21,H2:H21=MAX(H2:H21))</f>
        <v>46046</v>
      </c>
      <c r="O27" t="str">
        <v>Monitor</v>
      </c>
      <c r="P27" t="str">
        <v>Electronics</v>
      </c>
      <c r="Q27">
        <v>9</v>
      </c>
      <c r="R27">
        <v>18500</v>
      </c>
      <c r="S27" t="str">
        <v>Pokhara</v>
      </c>
      <c r="T27" t="str">
        <v>Ravi</v>
      </c>
      <c r="U27">
        <v>166500</v>
      </c>
      <c r="V27" t="str">
        <v>High</v>
      </c>
    </row>
    <row r="28" spans="1:22" x14ac:dyDescent="0.3">
      <c r="A28" s="4" t="s">
        <v>27</v>
      </c>
      <c r="C28" s="4">
        <f>COUNTA(B2:B21)</f>
        <v>20</v>
      </c>
      <c r="D28" t="s">
        <v>28</v>
      </c>
    </row>
    <row r="29" spans="1:22" x14ac:dyDescent="0.3">
      <c r="A29" s="4" t="s">
        <v>27</v>
      </c>
      <c r="C29" s="4">
        <f>COUNTA(_xlfn.UNIQUE(B2:B21))</f>
        <v>7</v>
      </c>
      <c r="D29" t="s">
        <v>29</v>
      </c>
    </row>
    <row r="30" spans="1:22" x14ac:dyDescent="0.3">
      <c r="A30" s="4" t="s">
        <v>30</v>
      </c>
      <c r="C30" s="4">
        <f>COUNT(H2:H21)</f>
        <v>20</v>
      </c>
    </row>
    <row r="31" spans="1:22" x14ac:dyDescent="0.3">
      <c r="A31" s="4" t="s">
        <v>31</v>
      </c>
      <c r="C31" s="4">
        <f>AVERAGE(E2:E21)</f>
        <v>5200</v>
      </c>
    </row>
    <row r="32" spans="1:22" x14ac:dyDescent="0.3">
      <c r="A32" s="4" t="s">
        <v>33</v>
      </c>
      <c r="C32">
        <f>SUM(D2:D21)</f>
        <v>370</v>
      </c>
    </row>
    <row r="33" spans="1:3" x14ac:dyDescent="0.3">
      <c r="A33" s="4" t="s">
        <v>34</v>
      </c>
      <c r="C33">
        <f>AVERAGE(H2:H21)</f>
        <v>64665</v>
      </c>
    </row>
    <row r="34" spans="1:3" x14ac:dyDescent="0.3">
      <c r="A34" s="4" t="s">
        <v>41</v>
      </c>
      <c r="C34">
        <f>MAX(H2:H21)</f>
        <v>166500</v>
      </c>
    </row>
    <row r="35" spans="1:3" x14ac:dyDescent="0.3">
      <c r="A35" s="4" t="s">
        <v>40</v>
      </c>
      <c r="C35">
        <f>MIN(H2:H21)</f>
        <v>27500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28F2-314B-433E-8002-346F664A407D}">
  <dimension ref="A1:V26"/>
  <sheetViews>
    <sheetView topLeftCell="E1" zoomScale="87" workbookViewId="0">
      <selection activeCell="P15" sqref="P15"/>
    </sheetView>
  </sheetViews>
  <sheetFormatPr defaultRowHeight="14.4" x14ac:dyDescent="0.3"/>
  <cols>
    <col min="1" max="1" width="12.88671875" customWidth="1"/>
    <col min="2" max="2" width="11.5546875" customWidth="1"/>
    <col min="3" max="3" width="22" customWidth="1"/>
    <col min="4" max="4" width="18.33203125" bestFit="1" customWidth="1"/>
    <col min="5" max="5" width="13.109375" customWidth="1"/>
    <col min="6" max="6" width="12.6640625" customWidth="1"/>
    <col min="7" max="7" width="16.77734375" customWidth="1"/>
    <col min="8" max="8" width="15.6640625" customWidth="1"/>
    <col min="9" max="9" width="13.77734375" customWidth="1"/>
    <col min="10" max="10" width="11.88671875" bestFit="1" customWidth="1"/>
    <col min="11" max="11" width="13.109375" bestFit="1" customWidth="1"/>
    <col min="12" max="12" width="11" bestFit="1" customWidth="1"/>
    <col min="13" max="13" width="19.21875" bestFit="1" customWidth="1"/>
  </cols>
  <sheetData>
    <row r="1" spans="1:13" ht="24.6" customHeight="1" x14ac:dyDescent="0.3">
      <c r="A1" s="8" t="s">
        <v>44</v>
      </c>
      <c r="B1" s="8" t="s">
        <v>45</v>
      </c>
      <c r="C1" s="8" t="s">
        <v>46</v>
      </c>
      <c r="D1" s="9" t="s">
        <v>47</v>
      </c>
      <c r="E1" s="9" t="s">
        <v>48</v>
      </c>
      <c r="F1" s="9" t="s">
        <v>49</v>
      </c>
      <c r="G1" s="9" t="s">
        <v>78</v>
      </c>
      <c r="H1" s="4" t="s">
        <v>88</v>
      </c>
      <c r="I1" s="4" t="s">
        <v>79</v>
      </c>
      <c r="J1" s="4" t="s">
        <v>80</v>
      </c>
      <c r="K1" s="4" t="s">
        <v>89</v>
      </c>
      <c r="L1" s="4" t="s">
        <v>81</v>
      </c>
      <c r="M1" s="4" t="s">
        <v>82</v>
      </c>
    </row>
    <row r="2" spans="1:13" x14ac:dyDescent="0.3">
      <c r="A2" s="3" t="s">
        <v>50</v>
      </c>
      <c r="B2" s="3" t="s">
        <v>10</v>
      </c>
      <c r="C2" s="3" t="s">
        <v>51</v>
      </c>
      <c r="D2" s="6">
        <v>100000</v>
      </c>
      <c r="E2" s="6">
        <v>125000</v>
      </c>
      <c r="F2" s="6">
        <v>96</v>
      </c>
      <c r="G2" s="6">
        <v>4.7</v>
      </c>
      <c r="H2" s="5">
        <f>E2/D2</f>
        <v>1.25</v>
      </c>
      <c r="I2" t="str">
        <f>IF(H2&gt;=100%,"Achieved","Not Achieved")</f>
        <v>Achieved</v>
      </c>
      <c r="J2" t="str">
        <f>IF(H2&gt;=120%,"Excellent",IF(H2&gt;=100%,"Good",IF(H2&gt;=90%,"Average","Poor")))</f>
        <v>Excellent</v>
      </c>
      <c r="K2" t="str">
        <f>IF(AND(H2&gt;=100%,F2&gt;=90),"Yes","No")</f>
        <v>Yes</v>
      </c>
      <c r="L2" t="str">
        <f>IF(OR(H2&gt;=120%,G2&gt;=4.8),"Yes","No")</f>
        <v>Yes</v>
      </c>
      <c r="M2" t="str">
        <f>IF(AND(H2&gt;=110%,F2&gt;=90,G2&gt;=4.5),"Yes","No")</f>
        <v>Yes</v>
      </c>
    </row>
    <row r="3" spans="1:13" x14ac:dyDescent="0.3">
      <c r="A3" s="3" t="s">
        <v>52</v>
      </c>
      <c r="B3" s="3" t="s">
        <v>13</v>
      </c>
      <c r="C3" s="3" t="s">
        <v>51</v>
      </c>
      <c r="D3" s="6">
        <v>120000</v>
      </c>
      <c r="E3" s="6">
        <v>95000</v>
      </c>
      <c r="F3" s="6">
        <v>91</v>
      </c>
      <c r="G3" s="6">
        <v>4.0999999999999996</v>
      </c>
      <c r="H3" s="5">
        <f t="shared" ref="H3:H16" si="0">E3/D3</f>
        <v>0.79166666666666663</v>
      </c>
      <c r="I3" t="str">
        <f t="shared" ref="I3:I16" si="1">IF(H3&gt;=100%,"Achieved","Not Achieved")</f>
        <v>Not Achieved</v>
      </c>
      <c r="J3" t="str">
        <f t="shared" ref="J3:J16" si="2">IF(H3&gt;=120%,"Excellent",IF(H3&gt;=100%,"Good",IF(H3&gt;=90%,"Average","Poor")))</f>
        <v>Poor</v>
      </c>
      <c r="K3" t="str">
        <f t="shared" ref="K3:K16" si="3">IF(AND(H3&gt;=100%,F3&gt;=90),"Yes","No")</f>
        <v>No</v>
      </c>
      <c r="L3" t="str">
        <f t="shared" ref="L3:L13" si="4">IF(OR(H3&gt;=120%,G3&gt;=4.8),"Yes","No")</f>
        <v>No</v>
      </c>
      <c r="M3" t="str">
        <f t="shared" ref="M3:M16" si="5">IF(AND(H3&gt;=110%,F3&gt;=90,G3&gt;=4.5),"Yes","No")</f>
        <v>No</v>
      </c>
    </row>
    <row r="4" spans="1:13" x14ac:dyDescent="0.3">
      <c r="A4" s="3" t="s">
        <v>53</v>
      </c>
      <c r="B4" s="3" t="s">
        <v>15</v>
      </c>
      <c r="C4" s="3" t="s">
        <v>51</v>
      </c>
      <c r="D4" s="6">
        <v>90000</v>
      </c>
      <c r="E4" s="6">
        <v>90000</v>
      </c>
      <c r="F4" s="6">
        <v>98</v>
      </c>
      <c r="G4" s="6">
        <v>4.5</v>
      </c>
      <c r="H4" s="5">
        <f t="shared" si="0"/>
        <v>1</v>
      </c>
      <c r="I4" t="str">
        <f t="shared" si="1"/>
        <v>Achieved</v>
      </c>
      <c r="J4" t="str">
        <f t="shared" si="2"/>
        <v>Good</v>
      </c>
      <c r="K4" t="str">
        <f t="shared" si="3"/>
        <v>Yes</v>
      </c>
      <c r="L4" t="str">
        <f t="shared" si="4"/>
        <v>No</v>
      </c>
      <c r="M4" t="str">
        <f t="shared" si="5"/>
        <v>No</v>
      </c>
    </row>
    <row r="5" spans="1:13" x14ac:dyDescent="0.3">
      <c r="A5" s="3" t="s">
        <v>54</v>
      </c>
      <c r="B5" s="3" t="s">
        <v>55</v>
      </c>
      <c r="C5" s="3" t="s">
        <v>51</v>
      </c>
      <c r="D5" s="6">
        <v>150000</v>
      </c>
      <c r="E5" s="6">
        <v>180000</v>
      </c>
      <c r="F5" s="6">
        <v>87</v>
      </c>
      <c r="G5" s="6">
        <v>4.8</v>
      </c>
      <c r="H5" s="5">
        <f t="shared" si="0"/>
        <v>1.2</v>
      </c>
      <c r="I5" t="str">
        <f t="shared" si="1"/>
        <v>Achieved</v>
      </c>
      <c r="J5" t="str">
        <f t="shared" si="2"/>
        <v>Excellent</v>
      </c>
      <c r="K5" t="str">
        <f t="shared" si="3"/>
        <v>No</v>
      </c>
      <c r="L5" t="str">
        <f t="shared" si="4"/>
        <v>Yes</v>
      </c>
      <c r="M5" t="str">
        <f t="shared" si="5"/>
        <v>No</v>
      </c>
    </row>
    <row r="6" spans="1:13" x14ac:dyDescent="0.3">
      <c r="A6" s="3" t="s">
        <v>56</v>
      </c>
      <c r="B6" s="3" t="s">
        <v>57</v>
      </c>
      <c r="C6" s="3" t="s">
        <v>51</v>
      </c>
      <c r="D6" s="6">
        <v>110000</v>
      </c>
      <c r="E6" s="6">
        <v>105000</v>
      </c>
      <c r="F6" s="6">
        <v>94</v>
      </c>
      <c r="G6" s="6">
        <v>3.9</v>
      </c>
      <c r="H6" s="5">
        <f t="shared" si="0"/>
        <v>0.95454545454545459</v>
      </c>
      <c r="I6" t="str">
        <f t="shared" si="1"/>
        <v>Not Achieved</v>
      </c>
      <c r="J6" t="str">
        <f t="shared" si="2"/>
        <v>Average</v>
      </c>
      <c r="K6" t="str">
        <f t="shared" si="3"/>
        <v>No</v>
      </c>
      <c r="L6" t="str">
        <f t="shared" si="4"/>
        <v>No</v>
      </c>
      <c r="M6" t="str">
        <f t="shared" si="5"/>
        <v>No</v>
      </c>
    </row>
    <row r="7" spans="1:13" x14ac:dyDescent="0.3">
      <c r="A7" s="3" t="s">
        <v>58</v>
      </c>
      <c r="B7" s="3" t="s">
        <v>59</v>
      </c>
      <c r="C7" s="3" t="s">
        <v>51</v>
      </c>
      <c r="D7" s="6">
        <v>130000</v>
      </c>
      <c r="E7" s="6">
        <v>145000</v>
      </c>
      <c r="F7" s="6">
        <v>99</v>
      </c>
      <c r="G7" s="6">
        <v>4.5999999999999996</v>
      </c>
      <c r="H7" s="5">
        <f t="shared" si="0"/>
        <v>1.1153846153846154</v>
      </c>
      <c r="I7" t="str">
        <f t="shared" si="1"/>
        <v>Achieved</v>
      </c>
      <c r="J7" t="str">
        <f t="shared" si="2"/>
        <v>Good</v>
      </c>
      <c r="K7" t="str">
        <f t="shared" si="3"/>
        <v>Yes</v>
      </c>
      <c r="L7" t="str">
        <f t="shared" si="4"/>
        <v>No</v>
      </c>
      <c r="M7" t="str">
        <f t="shared" si="5"/>
        <v>Yes</v>
      </c>
    </row>
    <row r="8" spans="1:13" x14ac:dyDescent="0.3">
      <c r="A8" s="3" t="s">
        <v>60</v>
      </c>
      <c r="B8" s="3" t="s">
        <v>61</v>
      </c>
      <c r="C8" s="3" t="s">
        <v>51</v>
      </c>
      <c r="D8" s="6">
        <v>95000</v>
      </c>
      <c r="E8" s="6">
        <v>70000</v>
      </c>
      <c r="F8" s="6">
        <v>82</v>
      </c>
      <c r="G8" s="6">
        <v>3.8</v>
      </c>
      <c r="H8" s="5">
        <f t="shared" si="0"/>
        <v>0.73684210526315785</v>
      </c>
      <c r="I8" t="str">
        <f t="shared" si="1"/>
        <v>Not Achieved</v>
      </c>
      <c r="J8" t="str">
        <f t="shared" si="2"/>
        <v>Poor</v>
      </c>
      <c r="K8" t="str">
        <f t="shared" si="3"/>
        <v>No</v>
      </c>
      <c r="L8" t="str">
        <f t="shared" si="4"/>
        <v>No</v>
      </c>
      <c r="M8" t="str">
        <f t="shared" si="5"/>
        <v>No</v>
      </c>
    </row>
    <row r="9" spans="1:13" x14ac:dyDescent="0.3">
      <c r="A9" s="3" t="s">
        <v>62</v>
      </c>
      <c r="B9" s="3" t="s">
        <v>63</v>
      </c>
      <c r="C9" s="3" t="s">
        <v>51</v>
      </c>
      <c r="D9" s="6">
        <v>140000</v>
      </c>
      <c r="E9" s="6">
        <v>142000</v>
      </c>
      <c r="F9" s="6">
        <v>93</v>
      </c>
      <c r="G9" s="6">
        <v>4.4000000000000004</v>
      </c>
      <c r="H9" s="5">
        <f t="shared" si="0"/>
        <v>1.0142857142857142</v>
      </c>
      <c r="I9" t="str">
        <f t="shared" si="1"/>
        <v>Achieved</v>
      </c>
      <c r="J9" t="str">
        <f t="shared" si="2"/>
        <v>Good</v>
      </c>
      <c r="K9" t="str">
        <f t="shared" si="3"/>
        <v>Yes</v>
      </c>
      <c r="L9" t="str">
        <f t="shared" si="4"/>
        <v>No</v>
      </c>
      <c r="M9" t="str">
        <f t="shared" si="5"/>
        <v>No</v>
      </c>
    </row>
    <row r="10" spans="1:13" x14ac:dyDescent="0.3">
      <c r="A10" s="3" t="s">
        <v>64</v>
      </c>
      <c r="B10" s="3" t="s">
        <v>65</v>
      </c>
      <c r="C10" s="3" t="s">
        <v>51</v>
      </c>
      <c r="D10" s="6">
        <v>100000</v>
      </c>
      <c r="E10" s="6">
        <v>102000</v>
      </c>
      <c r="F10" s="6">
        <v>97</v>
      </c>
      <c r="G10" s="6">
        <v>4.9000000000000004</v>
      </c>
      <c r="H10" s="5">
        <f t="shared" si="0"/>
        <v>1.02</v>
      </c>
      <c r="I10" t="str">
        <f t="shared" si="1"/>
        <v>Achieved</v>
      </c>
      <c r="J10" t="str">
        <f t="shared" si="2"/>
        <v>Good</v>
      </c>
      <c r="K10" t="str">
        <f t="shared" si="3"/>
        <v>Yes</v>
      </c>
      <c r="L10" t="str">
        <f t="shared" si="4"/>
        <v>Yes</v>
      </c>
      <c r="M10" t="str">
        <f t="shared" si="5"/>
        <v>No</v>
      </c>
    </row>
    <row r="11" spans="1:13" x14ac:dyDescent="0.3">
      <c r="A11" s="3" t="s">
        <v>66</v>
      </c>
      <c r="B11" s="3" t="s">
        <v>67</v>
      </c>
      <c r="C11" s="3" t="s">
        <v>51</v>
      </c>
      <c r="D11" s="6">
        <v>115000</v>
      </c>
      <c r="E11" s="6">
        <v>80000</v>
      </c>
      <c r="F11" s="6">
        <v>89</v>
      </c>
      <c r="G11" s="6">
        <v>4</v>
      </c>
      <c r="H11" s="5">
        <f t="shared" si="0"/>
        <v>0.69565217391304346</v>
      </c>
      <c r="I11" t="str">
        <f t="shared" si="1"/>
        <v>Not Achieved</v>
      </c>
      <c r="J11" t="str">
        <f t="shared" si="2"/>
        <v>Poor</v>
      </c>
      <c r="K11" t="str">
        <f t="shared" si="3"/>
        <v>No</v>
      </c>
      <c r="L11" t="str">
        <f t="shared" si="4"/>
        <v>No</v>
      </c>
      <c r="M11" t="str">
        <f t="shared" si="5"/>
        <v>No</v>
      </c>
    </row>
    <row r="12" spans="1:13" x14ac:dyDescent="0.3">
      <c r="A12" s="3" t="s">
        <v>68</v>
      </c>
      <c r="B12" s="3" t="s">
        <v>69</v>
      </c>
      <c r="C12" s="3" t="s">
        <v>51</v>
      </c>
      <c r="D12" s="6">
        <v>125000</v>
      </c>
      <c r="E12" s="6">
        <v>130000</v>
      </c>
      <c r="F12" s="6">
        <v>95</v>
      </c>
      <c r="G12" s="6">
        <v>4.5999999999999996</v>
      </c>
      <c r="H12" s="5">
        <f t="shared" si="0"/>
        <v>1.04</v>
      </c>
      <c r="I12" t="str">
        <f t="shared" si="1"/>
        <v>Achieved</v>
      </c>
      <c r="J12" t="str">
        <f t="shared" si="2"/>
        <v>Good</v>
      </c>
      <c r="K12" t="str">
        <f t="shared" si="3"/>
        <v>Yes</v>
      </c>
      <c r="L12" t="str">
        <f t="shared" si="4"/>
        <v>No</v>
      </c>
      <c r="M12" t="str">
        <f t="shared" si="5"/>
        <v>No</v>
      </c>
    </row>
    <row r="13" spans="1:13" x14ac:dyDescent="0.3">
      <c r="A13" s="3" t="s">
        <v>70</v>
      </c>
      <c r="B13" s="3" t="s">
        <v>71</v>
      </c>
      <c r="C13" s="3" t="s">
        <v>51</v>
      </c>
      <c r="D13" s="6">
        <v>105000</v>
      </c>
      <c r="E13" s="6">
        <v>108000</v>
      </c>
      <c r="F13" s="6">
        <v>92</v>
      </c>
      <c r="G13" s="6">
        <v>4.2</v>
      </c>
      <c r="H13" s="5">
        <f t="shared" si="0"/>
        <v>1.0285714285714285</v>
      </c>
      <c r="I13" t="str">
        <f t="shared" si="1"/>
        <v>Achieved</v>
      </c>
      <c r="J13" t="str">
        <f t="shared" si="2"/>
        <v>Good</v>
      </c>
      <c r="K13" t="str">
        <f t="shared" si="3"/>
        <v>Yes</v>
      </c>
      <c r="L13" t="str">
        <f t="shared" si="4"/>
        <v>No</v>
      </c>
      <c r="M13" t="str">
        <f t="shared" si="5"/>
        <v>No</v>
      </c>
    </row>
    <row r="14" spans="1:13" x14ac:dyDescent="0.3">
      <c r="A14" s="3" t="s">
        <v>72</v>
      </c>
      <c r="B14" s="3" t="s">
        <v>73</v>
      </c>
      <c r="C14" s="3" t="s">
        <v>51</v>
      </c>
      <c r="D14" s="6">
        <v>135000</v>
      </c>
      <c r="E14" s="6">
        <v>160000</v>
      </c>
      <c r="F14" s="6">
        <v>99</v>
      </c>
      <c r="G14" s="6">
        <v>4.8</v>
      </c>
      <c r="H14" s="5">
        <f t="shared" si="0"/>
        <v>1.1851851851851851</v>
      </c>
      <c r="I14" t="str">
        <f t="shared" si="1"/>
        <v>Achieved</v>
      </c>
      <c r="J14" t="str">
        <f t="shared" si="2"/>
        <v>Good</v>
      </c>
      <c r="K14" t="str">
        <f t="shared" si="3"/>
        <v>Yes</v>
      </c>
      <c r="L14" t="str">
        <f t="shared" ref="L14:L16" si="6">IF(OR(H14&gt;=120%,G14&gt;=4.8),"Yes","No")</f>
        <v>Yes</v>
      </c>
      <c r="M14" t="str">
        <f t="shared" si="5"/>
        <v>Yes</v>
      </c>
    </row>
    <row r="15" spans="1:13" x14ac:dyDescent="0.3">
      <c r="A15" s="3" t="s">
        <v>74</v>
      </c>
      <c r="B15" s="3" t="s">
        <v>75</v>
      </c>
      <c r="C15" s="3" t="s">
        <v>51</v>
      </c>
      <c r="D15" s="6">
        <v>90000</v>
      </c>
      <c r="E15" s="6">
        <v>72000</v>
      </c>
      <c r="F15" s="6">
        <v>85</v>
      </c>
      <c r="G15" s="6">
        <v>3.7</v>
      </c>
      <c r="H15" s="5">
        <f t="shared" si="0"/>
        <v>0.8</v>
      </c>
      <c r="I15" t="str">
        <f t="shared" si="1"/>
        <v>Not Achieved</v>
      </c>
      <c r="J15" t="str">
        <f t="shared" si="2"/>
        <v>Poor</v>
      </c>
      <c r="K15" t="str">
        <f t="shared" si="3"/>
        <v>No</v>
      </c>
      <c r="L15" t="str">
        <f t="shared" si="6"/>
        <v>No</v>
      </c>
      <c r="M15" t="str">
        <f t="shared" si="5"/>
        <v>No</v>
      </c>
    </row>
    <row r="16" spans="1:13" x14ac:dyDescent="0.3">
      <c r="A16" s="3" t="s">
        <v>76</v>
      </c>
      <c r="B16" s="3" t="s">
        <v>77</v>
      </c>
      <c r="C16" s="3" t="s">
        <v>51</v>
      </c>
      <c r="D16" s="6">
        <v>145000</v>
      </c>
      <c r="E16" s="6">
        <v>150000</v>
      </c>
      <c r="F16" s="6">
        <v>96</v>
      </c>
      <c r="G16" s="6">
        <v>4.5</v>
      </c>
      <c r="H16" s="5">
        <f t="shared" si="0"/>
        <v>1.0344827586206897</v>
      </c>
      <c r="I16" t="str">
        <f t="shared" si="1"/>
        <v>Achieved</v>
      </c>
      <c r="J16" t="str">
        <f t="shared" si="2"/>
        <v>Good</v>
      </c>
      <c r="K16" t="str">
        <f t="shared" si="3"/>
        <v>Yes</v>
      </c>
      <c r="L16" t="str">
        <f t="shared" si="6"/>
        <v>No</v>
      </c>
      <c r="M16" t="str">
        <f t="shared" si="5"/>
        <v>No</v>
      </c>
    </row>
    <row r="20" spans="1:22" x14ac:dyDescent="0.3">
      <c r="A20" s="1" t="s">
        <v>45</v>
      </c>
      <c r="B20" s="7" t="s">
        <v>48</v>
      </c>
      <c r="C20" s="7" t="s">
        <v>83</v>
      </c>
      <c r="D20" s="4" t="s">
        <v>84</v>
      </c>
      <c r="H20" s="4" t="s">
        <v>85</v>
      </c>
      <c r="J20">
        <f>COUNTIF(L2:L16,"Yes")</f>
        <v>4</v>
      </c>
    </row>
    <row r="21" spans="1:22" x14ac:dyDescent="0.3">
      <c r="A21" s="3" t="s">
        <v>10</v>
      </c>
      <c r="B21" s="6">
        <v>125000</v>
      </c>
      <c r="C21" s="6">
        <v>5</v>
      </c>
      <c r="D21">
        <f>IFERROR(B21/C21,"N/A")</f>
        <v>25000</v>
      </c>
      <c r="H21" s="4" t="s">
        <v>86</v>
      </c>
      <c r="J21" t="str" cm="1">
        <f t="array" ref="J21:V24">_xlfn._xlws.FILTER('Day2'!A2:M16,L2:L16="YES")</f>
        <v>E001</v>
      </c>
      <c r="K21" t="str">
        <v>Asha</v>
      </c>
      <c r="L21" t="str">
        <v>Sales</v>
      </c>
      <c r="M21">
        <v>100000</v>
      </c>
      <c r="N21">
        <v>125000</v>
      </c>
      <c r="O21">
        <v>96</v>
      </c>
      <c r="P21">
        <v>4.7</v>
      </c>
      <c r="Q21">
        <v>1.25</v>
      </c>
      <c r="R21" t="str">
        <v>Achieved</v>
      </c>
      <c r="S21" t="str">
        <v>Excellent</v>
      </c>
      <c r="T21" t="str">
        <v>Yes</v>
      </c>
      <c r="U21" t="str">
        <v>Yes</v>
      </c>
      <c r="V21" t="str">
        <v>Yes</v>
      </c>
    </row>
    <row r="22" spans="1:22" x14ac:dyDescent="0.3">
      <c r="A22" s="3" t="s">
        <v>13</v>
      </c>
      <c r="B22" s="6">
        <v>95000</v>
      </c>
      <c r="C22" s="6">
        <v>0</v>
      </c>
      <c r="D22" t="str">
        <f t="shared" ref="D22:D25" si="7">IFERROR(B22/C22,"N/A")</f>
        <v>N/A</v>
      </c>
      <c r="J22" t="str">
        <v>E004</v>
      </c>
      <c r="K22" t="str">
        <v>Kiran</v>
      </c>
      <c r="L22" t="str">
        <v>Sales</v>
      </c>
      <c r="M22">
        <v>150000</v>
      </c>
      <c r="N22">
        <v>180000</v>
      </c>
      <c r="O22">
        <v>87</v>
      </c>
      <c r="P22">
        <v>4.8</v>
      </c>
      <c r="Q22">
        <v>1.2</v>
      </c>
      <c r="R22" t="str">
        <v>Achieved</v>
      </c>
      <c r="S22" t="str">
        <v>Excellent</v>
      </c>
      <c r="T22" t="str">
        <v>No</v>
      </c>
      <c r="U22" t="str">
        <v>Yes</v>
      </c>
      <c r="V22" t="str">
        <v>No</v>
      </c>
    </row>
    <row r="23" spans="1:22" x14ac:dyDescent="0.3">
      <c r="A23" s="3" t="s">
        <v>15</v>
      </c>
      <c r="B23" s="6">
        <v>90000</v>
      </c>
      <c r="C23" s="6">
        <v>3</v>
      </c>
      <c r="D23">
        <f t="shared" si="7"/>
        <v>30000</v>
      </c>
      <c r="J23" t="str">
        <v>E009</v>
      </c>
      <c r="K23" t="str">
        <v>Anu</v>
      </c>
      <c r="L23" t="str">
        <v>Sales</v>
      </c>
      <c r="M23">
        <v>100000</v>
      </c>
      <c r="N23">
        <v>102000</v>
      </c>
      <c r="O23">
        <v>97</v>
      </c>
      <c r="P23">
        <v>4.9000000000000004</v>
      </c>
      <c r="Q23">
        <v>1.02</v>
      </c>
      <c r="R23" t="str">
        <v>Achieved</v>
      </c>
      <c r="S23" t="str">
        <v>Good</v>
      </c>
      <c r="T23" t="str">
        <v>Yes</v>
      </c>
      <c r="U23" t="str">
        <v>Yes</v>
      </c>
      <c r="V23" t="str">
        <v>No</v>
      </c>
    </row>
    <row r="24" spans="1:22" x14ac:dyDescent="0.3">
      <c r="A24" s="3" t="s">
        <v>55</v>
      </c>
      <c r="B24" s="6">
        <v>180000</v>
      </c>
      <c r="C24" s="6">
        <v>6</v>
      </c>
      <c r="D24">
        <f t="shared" si="7"/>
        <v>30000</v>
      </c>
      <c r="J24" t="str">
        <v>E013</v>
      </c>
      <c r="K24" t="str">
        <v>Priya</v>
      </c>
      <c r="L24" t="str">
        <v>Sales</v>
      </c>
      <c r="M24">
        <v>135000</v>
      </c>
      <c r="N24">
        <v>160000</v>
      </c>
      <c r="O24">
        <v>99</v>
      </c>
      <c r="P24">
        <v>4.8</v>
      </c>
      <c r="Q24">
        <v>1.1851851851851851</v>
      </c>
      <c r="R24" t="str">
        <v>Achieved</v>
      </c>
      <c r="S24" t="str">
        <v>Good</v>
      </c>
      <c r="T24" t="str">
        <v>Yes</v>
      </c>
      <c r="U24" t="str">
        <v>Yes</v>
      </c>
      <c r="V24" t="str">
        <v>Yes</v>
      </c>
    </row>
    <row r="25" spans="1:22" x14ac:dyDescent="0.3">
      <c r="A25" s="3" t="s">
        <v>57</v>
      </c>
      <c r="B25" s="6">
        <v>105000</v>
      </c>
      <c r="C25" s="6">
        <v>2</v>
      </c>
      <c r="D25">
        <f t="shared" si="7"/>
        <v>52500</v>
      </c>
    </row>
    <row r="26" spans="1:22" x14ac:dyDescent="0.3">
      <c r="H26" s="4" t="s">
        <v>87</v>
      </c>
      <c r="J26" s="10">
        <f>J20/COUNTA(A2:A16)</f>
        <v>0.26666666666666666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78B2-20DE-4ED3-8423-8A613571C99D}">
  <dimension ref="A1:P37"/>
  <sheetViews>
    <sheetView tabSelected="1" topLeftCell="A9" workbookViewId="0">
      <selection activeCell="O19" sqref="O19"/>
    </sheetView>
  </sheetViews>
  <sheetFormatPr defaultRowHeight="14.4" x14ac:dyDescent="0.3"/>
  <cols>
    <col min="3" max="3" width="11.6640625" bestFit="1" customWidth="1"/>
    <col min="4" max="4" width="13.77734375" customWidth="1"/>
    <col min="5" max="5" width="11.6640625" customWidth="1"/>
    <col min="6" max="6" width="14.77734375" bestFit="1" customWidth="1"/>
    <col min="8" max="8" width="10.21875" bestFit="1" customWidth="1"/>
    <col min="12" max="12" width="15.33203125" bestFit="1" customWidth="1"/>
    <col min="13" max="13" width="10.44140625" bestFit="1" customWidth="1"/>
    <col min="14" max="14" width="16.21875" bestFit="1" customWidth="1"/>
    <col min="15" max="15" width="18" bestFit="1" customWidth="1"/>
    <col min="16" max="16" width="18.6640625" bestFit="1" customWidth="1"/>
  </cols>
  <sheetData>
    <row r="1" spans="1:16" ht="28.8" x14ac:dyDescent="0.3">
      <c r="A1" s="1" t="s">
        <v>90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7" t="s">
        <v>91</v>
      </c>
      <c r="H1" s="7" t="s">
        <v>4</v>
      </c>
      <c r="I1" s="7" t="s">
        <v>51</v>
      </c>
      <c r="L1" s="1" t="s">
        <v>5</v>
      </c>
      <c r="M1" s="4" t="s">
        <v>23</v>
      </c>
      <c r="N1" s="4" t="s">
        <v>123</v>
      </c>
      <c r="O1" s="4" t="s">
        <v>124</v>
      </c>
      <c r="P1" s="4"/>
    </row>
    <row r="2" spans="1:16" x14ac:dyDescent="0.3">
      <c r="A2" s="3" t="s">
        <v>92</v>
      </c>
      <c r="B2" s="11">
        <v>46023</v>
      </c>
      <c r="C2" s="3" t="s">
        <v>7</v>
      </c>
      <c r="D2" s="3" t="s">
        <v>8</v>
      </c>
      <c r="E2" s="3" t="s">
        <v>9</v>
      </c>
      <c r="F2" s="3" t="s">
        <v>10</v>
      </c>
      <c r="G2" s="6">
        <v>12</v>
      </c>
      <c r="H2" s="6">
        <v>2500</v>
      </c>
      <c r="I2" s="6">
        <v>30000</v>
      </c>
      <c r="L2" s="3" t="s">
        <v>9</v>
      </c>
      <c r="M2">
        <f>SUMIF(E:E,L2,I:I)</f>
        <v>753700</v>
      </c>
      <c r="N2">
        <f>COUNTIF(E:E,L2)</f>
        <v>11</v>
      </c>
      <c r="O2">
        <f>AVERAGEIF(E:E,L2,I:I)</f>
        <v>68518.181818181823</v>
      </c>
    </row>
    <row r="3" spans="1:16" x14ac:dyDescent="0.3">
      <c r="A3" s="3" t="s">
        <v>93</v>
      </c>
      <c r="B3" s="11">
        <v>46024</v>
      </c>
      <c r="C3" s="3" t="s">
        <v>94</v>
      </c>
      <c r="D3" s="3" t="s">
        <v>8</v>
      </c>
      <c r="E3" s="3" t="s">
        <v>12</v>
      </c>
      <c r="F3" s="3" t="s">
        <v>13</v>
      </c>
      <c r="G3" s="6">
        <v>25</v>
      </c>
      <c r="H3" s="6">
        <v>1500</v>
      </c>
      <c r="I3" s="6">
        <v>37500</v>
      </c>
      <c r="L3" s="3" t="s">
        <v>12</v>
      </c>
      <c r="M3">
        <f t="shared" ref="M3:M5" si="0">SUMIF(E:E,L3,I:I)</f>
        <v>438400</v>
      </c>
      <c r="N3">
        <f t="shared" ref="N3:N5" si="1">COUNTIF(E:E,L3)</f>
        <v>7</v>
      </c>
      <c r="O3">
        <f t="shared" ref="O3:O5" si="2">AVERAGEIF(E:E,L3,I:I)</f>
        <v>62628.571428571428</v>
      </c>
    </row>
    <row r="4" spans="1:16" x14ac:dyDescent="0.3">
      <c r="A4" s="3" t="s">
        <v>95</v>
      </c>
      <c r="B4" s="11">
        <v>46025</v>
      </c>
      <c r="C4" s="3" t="s">
        <v>14</v>
      </c>
      <c r="D4" s="3" t="s">
        <v>8</v>
      </c>
      <c r="E4" s="3" t="s">
        <v>9</v>
      </c>
      <c r="F4" s="3" t="s">
        <v>15</v>
      </c>
      <c r="G4" s="6">
        <v>18</v>
      </c>
      <c r="H4" s="6">
        <v>2200</v>
      </c>
      <c r="I4" s="6">
        <v>39600</v>
      </c>
      <c r="L4" s="3" t="s">
        <v>18</v>
      </c>
      <c r="M4">
        <f t="shared" si="0"/>
        <v>428000</v>
      </c>
      <c r="N4">
        <f t="shared" si="1"/>
        <v>6</v>
      </c>
      <c r="O4">
        <f t="shared" si="2"/>
        <v>71333.333333333328</v>
      </c>
    </row>
    <row r="5" spans="1:16" x14ac:dyDescent="0.3">
      <c r="A5" s="3" t="s">
        <v>96</v>
      </c>
      <c r="B5" s="11">
        <v>46026</v>
      </c>
      <c r="C5" s="3" t="s">
        <v>16</v>
      </c>
      <c r="D5" s="3" t="s">
        <v>17</v>
      </c>
      <c r="E5" s="3" t="s">
        <v>18</v>
      </c>
      <c r="F5" s="3" t="s">
        <v>10</v>
      </c>
      <c r="G5" s="6">
        <v>8</v>
      </c>
      <c r="H5" s="6">
        <v>18500</v>
      </c>
      <c r="I5" s="6">
        <v>148000</v>
      </c>
      <c r="L5" s="3" t="s">
        <v>20</v>
      </c>
      <c r="M5">
        <f t="shared" si="0"/>
        <v>421400</v>
      </c>
      <c r="N5">
        <f t="shared" si="1"/>
        <v>6</v>
      </c>
      <c r="O5">
        <f t="shared" si="2"/>
        <v>70233.333333333328</v>
      </c>
    </row>
    <row r="6" spans="1:16" x14ac:dyDescent="0.3">
      <c r="A6" s="3" t="s">
        <v>97</v>
      </c>
      <c r="B6" s="11">
        <v>46027</v>
      </c>
      <c r="C6" s="3" t="s">
        <v>19</v>
      </c>
      <c r="D6" s="3" t="s">
        <v>8</v>
      </c>
      <c r="E6" s="3" t="s">
        <v>20</v>
      </c>
      <c r="F6" s="3" t="s">
        <v>13</v>
      </c>
      <c r="G6" s="6">
        <v>30</v>
      </c>
      <c r="H6" s="6">
        <v>1800</v>
      </c>
      <c r="I6" s="6">
        <v>54000</v>
      </c>
    </row>
    <row r="7" spans="1:16" x14ac:dyDescent="0.3">
      <c r="A7" s="3" t="s">
        <v>98</v>
      </c>
      <c r="B7" s="11">
        <v>46028</v>
      </c>
      <c r="C7" s="3" t="s">
        <v>21</v>
      </c>
      <c r="D7" s="3" t="s">
        <v>17</v>
      </c>
      <c r="E7" s="3" t="s">
        <v>9</v>
      </c>
      <c r="F7" s="3" t="s">
        <v>15</v>
      </c>
      <c r="G7" s="6">
        <v>15</v>
      </c>
      <c r="H7" s="6">
        <v>4500</v>
      </c>
      <c r="I7" s="6">
        <v>67500</v>
      </c>
    </row>
    <row r="8" spans="1:16" x14ac:dyDescent="0.3">
      <c r="A8" s="3" t="s">
        <v>99</v>
      </c>
      <c r="B8" s="11">
        <v>46029</v>
      </c>
      <c r="C8" s="3" t="s">
        <v>22</v>
      </c>
      <c r="D8" s="3" t="s">
        <v>17</v>
      </c>
      <c r="E8" s="3" t="s">
        <v>12</v>
      </c>
      <c r="F8" s="3" t="s">
        <v>10</v>
      </c>
      <c r="G8" s="6">
        <v>10</v>
      </c>
      <c r="H8" s="6">
        <v>5500</v>
      </c>
      <c r="I8" s="6">
        <v>55000</v>
      </c>
    </row>
    <row r="9" spans="1:16" ht="19.8" x14ac:dyDescent="0.4">
      <c r="A9" s="3" t="s">
        <v>100</v>
      </c>
      <c r="B9" s="11">
        <v>46030</v>
      </c>
      <c r="C9" s="3" t="s">
        <v>14</v>
      </c>
      <c r="D9" s="3" t="s">
        <v>8</v>
      </c>
      <c r="E9" s="3" t="s">
        <v>20</v>
      </c>
      <c r="F9" s="3" t="s">
        <v>13</v>
      </c>
      <c r="G9" s="6">
        <v>22</v>
      </c>
      <c r="H9" s="6">
        <v>2200</v>
      </c>
      <c r="I9" s="6">
        <v>48400</v>
      </c>
      <c r="L9" s="12" t="s">
        <v>23</v>
      </c>
    </row>
    <row r="10" spans="1:16" x14ac:dyDescent="0.3">
      <c r="A10" s="3" t="s">
        <v>101</v>
      </c>
      <c r="B10" s="11">
        <v>46031</v>
      </c>
      <c r="C10" s="3" t="s">
        <v>7</v>
      </c>
      <c r="D10" s="3" t="s">
        <v>8</v>
      </c>
      <c r="E10" s="3" t="s">
        <v>18</v>
      </c>
      <c r="F10" s="3" t="s">
        <v>15</v>
      </c>
      <c r="G10" s="6">
        <v>16</v>
      </c>
      <c r="H10" s="6">
        <v>2500</v>
      </c>
      <c r="I10" s="6">
        <v>40000</v>
      </c>
      <c r="L10" s="4" t="s">
        <v>125</v>
      </c>
      <c r="M10" t="s">
        <v>8</v>
      </c>
      <c r="N10" t="s">
        <v>17</v>
      </c>
    </row>
    <row r="11" spans="1:16" x14ac:dyDescent="0.3">
      <c r="A11" s="3" t="s">
        <v>102</v>
      </c>
      <c r="B11" s="11">
        <v>46032</v>
      </c>
      <c r="C11" s="3" t="s">
        <v>16</v>
      </c>
      <c r="D11" s="3" t="s">
        <v>17</v>
      </c>
      <c r="E11" s="3" t="s">
        <v>9</v>
      </c>
      <c r="F11" s="3" t="s">
        <v>10</v>
      </c>
      <c r="G11" s="6">
        <v>6</v>
      </c>
      <c r="H11" s="6">
        <v>18500</v>
      </c>
      <c r="I11" s="6">
        <v>111000</v>
      </c>
      <c r="L11" s="3" t="s">
        <v>9</v>
      </c>
      <c r="M11">
        <f>SUMIFS($I:$I,$E:$E,$L11,$D:$D,M$10)</f>
        <v>193700</v>
      </c>
      <c r="N11">
        <f>SUMIFS($I:$I,$E:$E,$L11,$D:$D,N$10)</f>
        <v>560000</v>
      </c>
    </row>
    <row r="12" spans="1:16" x14ac:dyDescent="0.3">
      <c r="A12" s="3" t="s">
        <v>103</v>
      </c>
      <c r="B12" s="11">
        <v>46033</v>
      </c>
      <c r="C12" s="3" t="s">
        <v>94</v>
      </c>
      <c r="D12" s="3" t="s">
        <v>8</v>
      </c>
      <c r="E12" s="3" t="s">
        <v>20</v>
      </c>
      <c r="F12" s="3" t="s">
        <v>13</v>
      </c>
      <c r="G12" s="6">
        <v>35</v>
      </c>
      <c r="H12" s="6">
        <v>1500</v>
      </c>
      <c r="I12" s="6">
        <v>52500</v>
      </c>
      <c r="L12" s="3" t="s">
        <v>12</v>
      </c>
      <c r="M12">
        <f t="shared" ref="M12:M14" si="3">SUMIFS($I:$I,$E:$E,$L12,$D:$D,M$10)</f>
        <v>216900</v>
      </c>
      <c r="N12">
        <f t="shared" ref="N12:N14" si="4">SUMIFS($I:$I,$E:$E,$L12,$D:$D,N$10)</f>
        <v>221500</v>
      </c>
    </row>
    <row r="13" spans="1:16" x14ac:dyDescent="0.3">
      <c r="A13" s="3" t="s">
        <v>104</v>
      </c>
      <c r="B13" s="11">
        <v>46034</v>
      </c>
      <c r="C13" s="3" t="s">
        <v>21</v>
      </c>
      <c r="D13" s="3" t="s">
        <v>17</v>
      </c>
      <c r="E13" s="3" t="s">
        <v>18</v>
      </c>
      <c r="F13" s="3" t="s">
        <v>15</v>
      </c>
      <c r="G13" s="6">
        <v>20</v>
      </c>
      <c r="H13" s="6">
        <v>4500</v>
      </c>
      <c r="I13" s="6">
        <v>90000</v>
      </c>
      <c r="L13" s="3" t="s">
        <v>18</v>
      </c>
      <c r="M13">
        <f t="shared" si="3"/>
        <v>113500</v>
      </c>
      <c r="N13">
        <f t="shared" si="4"/>
        <v>314500</v>
      </c>
    </row>
    <row r="14" spans="1:16" x14ac:dyDescent="0.3">
      <c r="A14" s="3" t="s">
        <v>105</v>
      </c>
      <c r="B14" s="11">
        <v>46035</v>
      </c>
      <c r="C14" s="3" t="s">
        <v>19</v>
      </c>
      <c r="D14" s="3" t="s">
        <v>8</v>
      </c>
      <c r="E14" s="3" t="s">
        <v>9</v>
      </c>
      <c r="F14" s="3" t="s">
        <v>10</v>
      </c>
      <c r="G14" s="6">
        <v>28</v>
      </c>
      <c r="H14" s="6">
        <v>1800</v>
      </c>
      <c r="I14" s="6">
        <v>50400</v>
      </c>
      <c r="L14" s="3" t="s">
        <v>20</v>
      </c>
      <c r="M14">
        <f t="shared" si="3"/>
        <v>214900</v>
      </c>
      <c r="N14">
        <f t="shared" si="4"/>
        <v>206500</v>
      </c>
    </row>
    <row r="15" spans="1:16" x14ac:dyDescent="0.3">
      <c r="A15" s="3" t="s">
        <v>106</v>
      </c>
      <c r="B15" s="11">
        <v>46036</v>
      </c>
      <c r="C15" s="3" t="s">
        <v>22</v>
      </c>
      <c r="D15" s="3" t="s">
        <v>17</v>
      </c>
      <c r="E15" s="3" t="s">
        <v>20</v>
      </c>
      <c r="F15" s="3" t="s">
        <v>13</v>
      </c>
      <c r="G15" s="6">
        <v>14</v>
      </c>
      <c r="H15" s="6">
        <v>5500</v>
      </c>
      <c r="I15" s="6">
        <v>77000</v>
      </c>
    </row>
    <row r="16" spans="1:16" x14ac:dyDescent="0.3">
      <c r="A16" s="3" t="s">
        <v>107</v>
      </c>
      <c r="B16" s="11">
        <v>46037</v>
      </c>
      <c r="C16" s="3" t="s">
        <v>14</v>
      </c>
      <c r="D16" s="3" t="s">
        <v>8</v>
      </c>
      <c r="E16" s="3" t="s">
        <v>12</v>
      </c>
      <c r="F16" s="3" t="s">
        <v>15</v>
      </c>
      <c r="G16" s="6">
        <v>19</v>
      </c>
      <c r="H16" s="6">
        <v>2200</v>
      </c>
      <c r="I16" s="6">
        <v>41800</v>
      </c>
    </row>
    <row r="17" spans="1:15" x14ac:dyDescent="0.3">
      <c r="A17" s="3" t="s">
        <v>108</v>
      </c>
      <c r="B17" s="11">
        <v>46038</v>
      </c>
      <c r="C17" s="3" t="s">
        <v>7</v>
      </c>
      <c r="D17" s="3" t="s">
        <v>8</v>
      </c>
      <c r="E17" s="3" t="s">
        <v>9</v>
      </c>
      <c r="F17" s="3" t="s">
        <v>10</v>
      </c>
      <c r="G17" s="6">
        <v>11</v>
      </c>
      <c r="H17" s="6">
        <v>2500</v>
      </c>
      <c r="I17" s="6">
        <v>27500</v>
      </c>
    </row>
    <row r="18" spans="1:15" ht="19.8" x14ac:dyDescent="0.4">
      <c r="A18" s="3" t="s">
        <v>109</v>
      </c>
      <c r="B18" s="11">
        <v>46039</v>
      </c>
      <c r="C18" s="3" t="s">
        <v>16</v>
      </c>
      <c r="D18" s="3" t="s">
        <v>17</v>
      </c>
      <c r="E18" s="3" t="s">
        <v>12</v>
      </c>
      <c r="F18" s="3" t="s">
        <v>13</v>
      </c>
      <c r="G18" s="6">
        <v>9</v>
      </c>
      <c r="H18" s="6">
        <v>18500</v>
      </c>
      <c r="I18" s="6">
        <v>166500</v>
      </c>
      <c r="L18" s="12" t="s">
        <v>126</v>
      </c>
    </row>
    <row r="19" spans="1:15" x14ac:dyDescent="0.3">
      <c r="A19" s="3" t="s">
        <v>110</v>
      </c>
      <c r="B19" s="11">
        <v>46040</v>
      </c>
      <c r="C19" s="3" t="s">
        <v>94</v>
      </c>
      <c r="D19" s="3" t="s">
        <v>8</v>
      </c>
      <c r="E19" s="3" t="s">
        <v>18</v>
      </c>
      <c r="F19" s="3" t="s">
        <v>15</v>
      </c>
      <c r="G19" s="6">
        <v>27</v>
      </c>
      <c r="H19" s="6">
        <v>1500</v>
      </c>
      <c r="I19" s="6">
        <v>40500</v>
      </c>
      <c r="L19" s="4" t="s">
        <v>125</v>
      </c>
      <c r="M19" t="s">
        <v>8</v>
      </c>
      <c r="N19" t="s">
        <v>17</v>
      </c>
    </row>
    <row r="20" spans="1:15" x14ac:dyDescent="0.3">
      <c r="A20" s="3" t="s">
        <v>111</v>
      </c>
      <c r="B20" s="11">
        <v>46041</v>
      </c>
      <c r="C20" s="3" t="s">
        <v>21</v>
      </c>
      <c r="D20" s="3" t="s">
        <v>17</v>
      </c>
      <c r="E20" s="3" t="s">
        <v>9</v>
      </c>
      <c r="F20" s="3" t="s">
        <v>10</v>
      </c>
      <c r="G20" s="6">
        <v>13</v>
      </c>
      <c r="H20" s="6">
        <v>4500</v>
      </c>
      <c r="I20" s="6">
        <v>58500</v>
      </c>
      <c r="L20" s="3" t="s">
        <v>9</v>
      </c>
      <c r="M20">
        <f>COUNTIFS($E:$E,$L20,$D:$D,M$19)</f>
        <v>5</v>
      </c>
      <c r="N20">
        <f>COUNTIFS($E:$E,$L20,$D:$D,N$19)</f>
        <v>6</v>
      </c>
    </row>
    <row r="21" spans="1:15" x14ac:dyDescent="0.3">
      <c r="A21" s="3" t="s">
        <v>112</v>
      </c>
      <c r="B21" s="11">
        <v>46042</v>
      </c>
      <c r="C21" s="3" t="s">
        <v>19</v>
      </c>
      <c r="D21" s="3" t="s">
        <v>8</v>
      </c>
      <c r="E21" s="3" t="s">
        <v>12</v>
      </c>
      <c r="F21" s="3" t="s">
        <v>13</v>
      </c>
      <c r="G21" s="6">
        <v>32</v>
      </c>
      <c r="H21" s="6">
        <v>1800</v>
      </c>
      <c r="I21" s="6">
        <v>57600</v>
      </c>
      <c r="L21" s="3" t="s">
        <v>12</v>
      </c>
      <c r="M21">
        <f t="shared" ref="M21:N23" si="5">COUNTIFS($E:$E,$L21,$D:$D,M$19)</f>
        <v>5</v>
      </c>
      <c r="N21">
        <f t="shared" si="5"/>
        <v>2</v>
      </c>
    </row>
    <row r="22" spans="1:15" x14ac:dyDescent="0.3">
      <c r="A22" s="3" t="s">
        <v>113</v>
      </c>
      <c r="B22" s="11">
        <v>46043</v>
      </c>
      <c r="C22" s="3" t="s">
        <v>14</v>
      </c>
      <c r="D22" s="3" t="s">
        <v>8</v>
      </c>
      <c r="E22" s="3" t="s">
        <v>9</v>
      </c>
      <c r="F22" s="3" t="s">
        <v>15</v>
      </c>
      <c r="G22" s="6">
        <v>21</v>
      </c>
      <c r="H22" s="6">
        <v>2200</v>
      </c>
      <c r="I22" s="6">
        <v>46200</v>
      </c>
      <c r="L22" s="3" t="s">
        <v>18</v>
      </c>
      <c r="M22">
        <f t="shared" si="5"/>
        <v>3</v>
      </c>
      <c r="N22">
        <f t="shared" si="5"/>
        <v>3</v>
      </c>
    </row>
    <row r="23" spans="1:15" x14ac:dyDescent="0.3">
      <c r="A23" s="3" t="s">
        <v>114</v>
      </c>
      <c r="B23" s="11">
        <v>46044</v>
      </c>
      <c r="C23" s="3" t="s">
        <v>16</v>
      </c>
      <c r="D23" s="3" t="s">
        <v>17</v>
      </c>
      <c r="E23" s="3" t="s">
        <v>20</v>
      </c>
      <c r="F23" s="3" t="s">
        <v>10</v>
      </c>
      <c r="G23" s="6">
        <v>7</v>
      </c>
      <c r="H23" s="6">
        <v>18500</v>
      </c>
      <c r="I23" s="6">
        <v>129500</v>
      </c>
      <c r="L23" s="3" t="s">
        <v>20</v>
      </c>
      <c r="M23">
        <f t="shared" si="5"/>
        <v>4</v>
      </c>
      <c r="N23">
        <f t="shared" si="5"/>
        <v>2</v>
      </c>
    </row>
    <row r="24" spans="1:15" x14ac:dyDescent="0.3">
      <c r="A24" s="3" t="s">
        <v>115</v>
      </c>
      <c r="B24" s="11">
        <v>46045</v>
      </c>
      <c r="C24" s="3" t="s">
        <v>7</v>
      </c>
      <c r="D24" s="3" t="s">
        <v>8</v>
      </c>
      <c r="E24" s="3" t="s">
        <v>12</v>
      </c>
      <c r="F24" s="3" t="s">
        <v>13</v>
      </c>
      <c r="G24" s="6">
        <v>14</v>
      </c>
      <c r="H24" s="6">
        <v>2500</v>
      </c>
      <c r="I24" s="6">
        <v>35000</v>
      </c>
    </row>
    <row r="25" spans="1:15" x14ac:dyDescent="0.3">
      <c r="A25" s="3" t="s">
        <v>116</v>
      </c>
      <c r="B25" s="11">
        <v>46046</v>
      </c>
      <c r="C25" s="3" t="s">
        <v>21</v>
      </c>
      <c r="D25" s="3" t="s">
        <v>17</v>
      </c>
      <c r="E25" s="3" t="s">
        <v>18</v>
      </c>
      <c r="F25" s="3" t="s">
        <v>15</v>
      </c>
      <c r="G25" s="6">
        <v>17</v>
      </c>
      <c r="H25" s="6">
        <v>4500</v>
      </c>
      <c r="I25" s="6">
        <v>76500</v>
      </c>
    </row>
    <row r="26" spans="1:15" ht="19.8" x14ac:dyDescent="0.4">
      <c r="A26" s="3" t="s">
        <v>117</v>
      </c>
      <c r="B26" s="11">
        <v>46047</v>
      </c>
      <c r="C26" s="3" t="s">
        <v>22</v>
      </c>
      <c r="D26" s="3" t="s">
        <v>17</v>
      </c>
      <c r="E26" s="3" t="s">
        <v>9</v>
      </c>
      <c r="F26" s="3" t="s">
        <v>10</v>
      </c>
      <c r="G26" s="6">
        <v>12</v>
      </c>
      <c r="H26" s="6">
        <v>5500</v>
      </c>
      <c r="I26" s="6">
        <v>66000</v>
      </c>
      <c r="L26" s="12" t="s">
        <v>124</v>
      </c>
    </row>
    <row r="27" spans="1:15" x14ac:dyDescent="0.3">
      <c r="A27" s="3" t="s">
        <v>118</v>
      </c>
      <c r="B27" s="11">
        <v>46048</v>
      </c>
      <c r="C27" s="3" t="s">
        <v>94</v>
      </c>
      <c r="D27" s="3" t="s">
        <v>8</v>
      </c>
      <c r="E27" s="3" t="s">
        <v>20</v>
      </c>
      <c r="F27" s="3" t="s">
        <v>13</v>
      </c>
      <c r="G27" s="6">
        <v>40</v>
      </c>
      <c r="H27" s="6">
        <v>1500</v>
      </c>
      <c r="I27" s="6">
        <v>60000</v>
      </c>
      <c r="L27" s="4" t="s">
        <v>125</v>
      </c>
      <c r="M27" t="s">
        <v>8</v>
      </c>
      <c r="N27" t="s">
        <v>17</v>
      </c>
      <c r="O27" t="s">
        <v>130</v>
      </c>
    </row>
    <row r="28" spans="1:15" x14ac:dyDescent="0.3">
      <c r="A28" s="3" t="s">
        <v>119</v>
      </c>
      <c r="B28" s="11">
        <v>46049</v>
      </c>
      <c r="C28" s="3" t="s">
        <v>14</v>
      </c>
      <c r="D28" s="3" t="s">
        <v>8</v>
      </c>
      <c r="E28" s="3" t="s">
        <v>18</v>
      </c>
      <c r="F28" s="3" t="s">
        <v>15</v>
      </c>
      <c r="G28" s="6">
        <v>15</v>
      </c>
      <c r="H28" s="6">
        <v>2200</v>
      </c>
      <c r="I28" s="6">
        <v>33000</v>
      </c>
      <c r="L28" s="3" t="s">
        <v>9</v>
      </c>
      <c r="M28">
        <f>AVERAGEIFS($I:$I,$E:$E,$L28,$D:$D,M$27)</f>
        <v>38740</v>
      </c>
      <c r="N28">
        <f>AVERAGEIFS($I:$I,$E:$E,$L28,$D:$D,N$27)</f>
        <v>93333.333333333328</v>
      </c>
    </row>
    <row r="29" spans="1:15" x14ac:dyDescent="0.3">
      <c r="A29" s="3" t="s">
        <v>120</v>
      </c>
      <c r="B29" s="11">
        <v>46050</v>
      </c>
      <c r="C29" s="3" t="s">
        <v>16</v>
      </c>
      <c r="D29" s="3" t="s">
        <v>17</v>
      </c>
      <c r="E29" s="3" t="s">
        <v>9</v>
      </c>
      <c r="F29" s="3" t="s">
        <v>10</v>
      </c>
      <c r="G29" s="6">
        <v>10</v>
      </c>
      <c r="H29" s="6">
        <v>18500</v>
      </c>
      <c r="I29" s="6">
        <v>185000</v>
      </c>
      <c r="L29" s="3" t="s">
        <v>12</v>
      </c>
      <c r="M29">
        <f t="shared" ref="M29:N31" si="6">AVERAGEIFS($I:$I,$E:$E,$L29,$D:$D,M$27)</f>
        <v>43380</v>
      </c>
      <c r="N29">
        <f t="shared" si="6"/>
        <v>110750</v>
      </c>
    </row>
    <row r="30" spans="1:15" x14ac:dyDescent="0.3">
      <c r="A30" s="3" t="s">
        <v>121</v>
      </c>
      <c r="B30" s="11">
        <v>46051</v>
      </c>
      <c r="C30" s="3" t="s">
        <v>19</v>
      </c>
      <c r="D30" s="3" t="s">
        <v>8</v>
      </c>
      <c r="E30" s="3" t="s">
        <v>12</v>
      </c>
      <c r="F30" s="3" t="s">
        <v>13</v>
      </c>
      <c r="G30" s="6">
        <v>25</v>
      </c>
      <c r="H30" s="6">
        <v>1800</v>
      </c>
      <c r="I30" s="6">
        <v>45000</v>
      </c>
      <c r="L30" s="3" t="s">
        <v>18</v>
      </c>
      <c r="M30">
        <f t="shared" si="6"/>
        <v>37833.333333333336</v>
      </c>
      <c r="N30">
        <f t="shared" si="6"/>
        <v>104833.33333333333</v>
      </c>
    </row>
    <row r="31" spans="1:15" x14ac:dyDescent="0.3">
      <c r="A31" s="3" t="s">
        <v>122</v>
      </c>
      <c r="B31" s="11">
        <v>46052</v>
      </c>
      <c r="C31" s="3" t="s">
        <v>21</v>
      </c>
      <c r="D31" s="3" t="s">
        <v>17</v>
      </c>
      <c r="E31" s="3" t="s">
        <v>9</v>
      </c>
      <c r="F31" s="3" t="s">
        <v>15</v>
      </c>
      <c r="G31" s="6">
        <v>16</v>
      </c>
      <c r="H31" s="6">
        <v>4500</v>
      </c>
      <c r="I31" s="6">
        <v>72000</v>
      </c>
      <c r="L31" s="3" t="s">
        <v>20</v>
      </c>
      <c r="M31">
        <f t="shared" si="6"/>
        <v>53725</v>
      </c>
      <c r="N31">
        <f t="shared" si="6"/>
        <v>103250</v>
      </c>
    </row>
    <row r="35" spans="1:4" x14ac:dyDescent="0.3">
      <c r="B35" s="4" t="s">
        <v>127</v>
      </c>
      <c r="D35" t="str">
        <f>_xlfn.XLOOKUP(MAX(M2:M5),M2:M5,L2:L5)</f>
        <v>Kathmandu</v>
      </c>
    </row>
    <row r="36" spans="1:4" x14ac:dyDescent="0.3">
      <c r="B36" s="4" t="s">
        <v>128</v>
      </c>
      <c r="D36" t="str">
        <f>_xlfn.XLOOKUP(MAX(N2:N5),N2:N5,L2:L5)</f>
        <v>Kathmandu</v>
      </c>
    </row>
    <row r="37" spans="1:4" x14ac:dyDescent="0.3">
      <c r="A37" s="4" t="s">
        <v>129</v>
      </c>
      <c r="D37" t="str">
        <f>_xlfn.XLOOKUP(MAX(O2:O5),O2:O5,L2:L5)</f>
        <v>Lalitpur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Day1</vt:lpstr>
      <vt:lpstr>Day2</vt:lpstr>
      <vt:lpstr>Day3</vt:lpstr>
      <vt:lpstr>SalesTable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Jaiswal</dc:creator>
  <cp:lastModifiedBy>Anjali Jaiswal</cp:lastModifiedBy>
  <dcterms:created xsi:type="dcterms:W3CDTF">2026-08-22T04:22:32Z</dcterms:created>
  <dcterms:modified xsi:type="dcterms:W3CDTF">2026-08-22T16:30:32Z</dcterms:modified>
</cp:coreProperties>
</file>